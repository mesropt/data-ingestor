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" sheetId="1" state="visible" r:id="rId3"/>
    <sheet name="Patient" sheetId="2" state="visible" r:id="rId4"/>
    <sheet name="Lipid Results" sheetId="3" state="visible" r:id="rId5"/>
    <sheet name="Reference Ranges" sheetId="4" state="visible" r:id="rId6"/>
    <sheet name="Historical Trend" sheetId="5" state="visible" r:id="rId7"/>
    <sheet name="Result Visualization" sheetId="6" state="visible" r:id="rId8"/>
    <sheet name="Quality Control" sheetId="7" state="visible" r:id="rId9"/>
    <sheet name="Methodology &amp; Note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<sst xmlns="http://schemas.openxmlformats.org/spreadsheetml/2006/main" count="249" uniqueCount="161">
  <si>
    <t xml:space="preserve">LABORATORY REPORT</t>
  </si>
  <si>
    <t xml:space="preserve">CLIA #: 45D0997314</t>
  </si>
  <si>
    <t xml:space="preserve">Atlanta, GA 30303</t>
  </si>
  <si>
    <t xml:space="preserve">  Lipid Panel with Cardiac Risk Markers</t>
  </si>
  <si>
    <t xml:space="preserve">Patient Name</t>
  </si>
  <si>
    <t xml:space="preserve">JONES, Linda</t>
  </si>
  <si>
    <t xml:space="preserve">Accession #</t>
  </si>
  <si>
    <t xml:space="preserve">HN-2026-809261</t>
  </si>
  <si>
    <t xml:space="preserve">MRN</t>
  </si>
  <si>
    <t xml:space="preserve">9119464</t>
  </si>
  <si>
    <t xml:space="preserve">Collected</t>
  </si>
  <si>
    <t xml:space="preserve">2026-02-25</t>
  </si>
  <si>
    <t xml:space="preserve">DOB</t>
  </si>
  <si>
    <t xml:space="preserve">1966-09-10</t>
  </si>
  <si>
    <t xml:space="preserve">Received</t>
  </si>
  <si>
    <t xml:space="preserve">Age / Sex</t>
  </si>
  <si>
    <t xml:space="preserve">60 / F</t>
  </si>
  <si>
    <t xml:space="preserve">Reported</t>
  </si>
  <si>
    <t xml:space="preserve">2026-02-26</t>
  </si>
  <si>
    <t xml:space="preserve">Ordering Provider</t>
  </si>
  <si>
    <t xml:space="preserve">Sarah K. Patel, MD</t>
  </si>
  <si>
    <t xml:space="preserve">Specimen</t>
  </si>
  <si>
    <t xml:space="preserve">Serum (SST, Gold Top), Fasting 12h</t>
  </si>
  <si>
    <t xml:space="preserve">  Abnormal Findings Summary (4)</t>
  </si>
  <si>
    <t xml:space="preserve">Analyte</t>
  </si>
  <si>
    <t xml:space="preserve">Result</t>
  </si>
  <si>
    <t xml:space="preserve">Flag</t>
  </si>
  <si>
    <t xml:space="preserve">Reference</t>
  </si>
  <si>
    <t xml:space="preserve">HDL Cholesterol</t>
  </si>
  <si>
    <t xml:space="preserve">101 mg/dL</t>
  </si>
  <si>
    <t xml:space="preserve">↑↑</t>
  </si>
  <si>
    <t xml:space="preserve">40 - 80</t>
  </si>
  <si>
    <t xml:space="preserve">Non-HDL Cholesterol</t>
  </si>
  <si>
    <t xml:space="preserve">17 mg/dL</t>
  </si>
  <si>
    <t xml:space="preserve">↓</t>
  </si>
  <si>
    <t xml:space="preserve">50 - 130</t>
  </si>
  <si>
    <t xml:space="preserve">Lipoprotein(a)</t>
  </si>
  <si>
    <t xml:space="preserve">1 nmol/L</t>
  </si>
  <si>
    <t xml:space="preserve">10 - 75</t>
  </si>
  <si>
    <t xml:space="preserve">hs-CRP</t>
  </si>
  <si>
    <t xml:space="preserve">0.0 mg/L</t>
  </si>
  <si>
    <t xml:space="preserve">0.1 - 3.0</t>
  </si>
  <si>
    <t xml:space="preserve">This report is electronically verified. Results apply only to the specimen received. See Methodology sheet for assay details and limitations.</t>
  </si>
  <si>
    <t xml:space="preserve">Laboratory Director: Victor H. Adeyemi, MD, FCAP</t>
  </si>
  <si>
    <t xml:space="preserve">  Patient Demographics</t>
  </si>
  <si>
    <t xml:space="preserve">  Specimen &amp; Order</t>
  </si>
  <si>
    <t xml:space="preserve">Name</t>
  </si>
  <si>
    <t xml:space="preserve">Medical Record #</t>
  </si>
  <si>
    <t xml:space="preserve">Date of Birth</t>
  </si>
  <si>
    <t xml:space="preserve">Provider NPI</t>
  </si>
  <si>
    <t xml:space="preserve">1359878597</t>
  </si>
  <si>
    <t xml:space="preserve">Age</t>
  </si>
  <si>
    <t xml:space="preserve">60</t>
  </si>
  <si>
    <t xml:space="preserve">Specimen Type</t>
  </si>
  <si>
    <t xml:space="preserve">Sex</t>
  </si>
  <si>
    <t xml:space="preserve">F</t>
  </si>
  <si>
    <t xml:space="preserve">Address</t>
  </si>
  <si>
    <t xml:space="preserve">2090 Birch St</t>
  </si>
  <si>
    <t xml:space="preserve">City/State/ZIP</t>
  </si>
  <si>
    <t xml:space="preserve">Seattle, WA 98184</t>
  </si>
  <si>
    <t xml:space="preserve">Phone</t>
  </si>
  <si>
    <t xml:space="preserve">(836) 295-8133</t>
  </si>
  <si>
    <t xml:space="preserve">Priority</t>
  </si>
  <si>
    <t xml:space="preserve">Routine</t>
  </si>
  <si>
    <t xml:space="preserve">Fasting Status</t>
  </si>
  <si>
    <t xml:space="preserve">Yes</t>
  </si>
  <si>
    <t xml:space="preserve">  Lipid Panel with Cardiac Risk Markers — Quantitative Results</t>
  </si>
  <si>
    <t xml:space="preserve">Test / Analyte</t>
  </si>
  <si>
    <t xml:space="preserve">Units</t>
  </si>
  <si>
    <t xml:space="preserve">Reference Interval</t>
  </si>
  <si>
    <t xml:space="preserve">Method</t>
  </si>
  <si>
    <t xml:space="preserve">Total Cholesterol</t>
  </si>
  <si>
    <t xml:space="preserve">mg/dL</t>
  </si>
  <si>
    <t xml:space="preserve">125 - 200</t>
  </si>
  <si>
    <t xml:space="preserve">Enzymatic (CHOD-PAP)</t>
  </si>
  <si>
    <t xml:space="preserve">Triglycerides</t>
  </si>
  <si>
    <t xml:space="preserve">40 - 150</t>
  </si>
  <si>
    <t xml:space="preserve">Enzymatic (GPO-PAP)</t>
  </si>
  <si>
    <t xml:space="preserve">Direct (accelerator)</t>
  </si>
  <si>
    <t xml:space="preserve">LDL Cholesterol (Calc)</t>
  </si>
  <si>
    <t xml:space="preserve">50 - 100</t>
  </si>
  <si>
    <t xml:space="preserve">Friedewald</t>
  </si>
  <si>
    <t xml:space="preserve">VLDL Cholesterol</t>
  </si>
  <si>
    <t xml:space="preserve">5 - 40</t>
  </si>
  <si>
    <t xml:space="preserve">Calculated</t>
  </si>
  <si>
    <t xml:space="preserve">Cholesterol/HDL Ratio</t>
  </si>
  <si>
    <t xml:space="preserve">ratio</t>
  </si>
  <si>
    <t xml:space="preserve">1.5 - 5.0</t>
  </si>
  <si>
    <t xml:space="preserve">Apolipoprotein B</t>
  </si>
  <si>
    <t xml:space="preserve">55 - 100</t>
  </si>
  <si>
    <t xml:space="preserve">Immunoturbidimetric</t>
  </si>
  <si>
    <t xml:space="preserve">nmol/L</t>
  </si>
  <si>
    <t xml:space="preserve">mg/L</t>
  </si>
  <si>
    <t xml:space="preserve">  Reference Intervals &amp; Methodology</t>
  </si>
  <si>
    <t xml:space="preserve">LOINC</t>
  </si>
  <si>
    <t xml:space="preserve">Low</t>
  </si>
  <si>
    <t xml:space="preserve">High</t>
  </si>
  <si>
    <t xml:space="preserve">2093-3</t>
  </si>
  <si>
    <t xml:space="preserve">2571-8</t>
  </si>
  <si>
    <t xml:space="preserve">2085-9</t>
  </si>
  <si>
    <t xml:space="preserve">13457-7</t>
  </si>
  <si>
    <t xml:space="preserve">13458-5</t>
  </si>
  <si>
    <t xml:space="preserve">43396-1</t>
  </si>
  <si>
    <t xml:space="preserve">9830-1</t>
  </si>
  <si>
    <t xml:space="preserve">1884-6</t>
  </si>
  <si>
    <t xml:space="preserve">10835-7</t>
  </si>
  <si>
    <t xml:space="preserve">30522-7</t>
  </si>
  <si>
    <t xml:space="preserve">  Historical Trend — Total Cholesterol</t>
  </si>
  <si>
    <t xml:space="preserve">Date</t>
  </si>
  <si>
    <t xml:space="preserve">Ref Low</t>
  </si>
  <si>
    <t xml:space="preserve">Ref High</t>
  </si>
  <si>
    <t xml:space="preserve">2024-12-03</t>
  </si>
  <si>
    <t xml:space="preserve">2025-03-03</t>
  </si>
  <si>
    <t xml:space="preserve">2025-06-01</t>
  </si>
  <si>
    <t xml:space="preserve">2025-08-30</t>
  </si>
  <si>
    <t xml:space="preserve">2025-11-28</t>
  </si>
  <si>
    <t xml:space="preserve">  Result Visualization</t>
  </si>
  <si>
    <t xml:space="preserve">  Daily QC Summary (Levey-Jennings)</t>
  </si>
  <si>
    <t xml:space="preserve">Control Material</t>
  </si>
  <si>
    <t xml:space="preserve">Target Mean</t>
  </si>
  <si>
    <t xml:space="preserve">Run 1</t>
  </si>
  <si>
    <t xml:space="preserve">Run 2</t>
  </si>
  <si>
    <t xml:space="preserve">Run 3</t>
  </si>
  <si>
    <t xml:space="preserve">Obs. Mean</t>
  </si>
  <si>
    <t xml:space="preserve">Obs. SD</t>
  </si>
  <si>
    <t xml:space="preserve">%CV</t>
  </si>
  <si>
    <t xml:space="preserve">QC Level 1 (Normal)</t>
  </si>
  <si>
    <t xml:space="preserve">QC Level 2 (Abnormal Low)</t>
  </si>
  <si>
    <t xml:space="preserve">QC Level 3 (Abnormal High)</t>
  </si>
  <si>
    <t xml:space="preserve">Westgard Rules Evaluation:</t>
  </si>
  <si>
    <t xml:space="preserve">1-2s: Warning only  |  1-3s, 2-2s, R-4s: Reject</t>
  </si>
  <si>
    <t xml:space="preserve">Run Status: ACCEPTED</t>
  </si>
  <si>
    <t xml:space="preserve">Reviewed by: Victor H. Adeyemi, MD, FCAP</t>
  </si>
  <si>
    <t xml:space="preserve">  Methodology, Instrumentation &amp; Disclaimers</t>
  </si>
  <si>
    <t xml:space="preserve">Testing Laboratory</t>
  </si>
  <si>
    <t xml:space="preserve">Hunter Clinical Group, Atlanta, GA 30303</t>
  </si>
  <si>
    <t xml:space="preserve">CLIA Certificate</t>
  </si>
  <si>
    <t xml:space="preserve">45D0997314</t>
  </si>
  <si>
    <t xml:space="preserve">Laboratory Director</t>
  </si>
  <si>
    <t xml:space="preserve">Victor H. Adeyemi, MD, FCAP</t>
  </si>
  <si>
    <t xml:space="preserve">Primary Instrument</t>
  </si>
  <si>
    <t xml:space="preserve">Beckman Coulter AU5800</t>
  </si>
  <si>
    <t xml:space="preserve">Accreditation</t>
  </si>
  <si>
    <t xml:space="preserve">CAP / CLIA '88 accredited</t>
  </si>
  <si>
    <t xml:space="preserve">Panel</t>
  </si>
  <si>
    <t xml:space="preserve">Lipid Panel with Cardiac Risk Markers</t>
  </si>
  <si>
    <t xml:space="preserve">Specimen Requirements</t>
  </si>
  <si>
    <t xml:space="preserve">Reference Population</t>
  </si>
  <si>
    <t xml:space="preserve">Adults 18-65, unless otherwise noted</t>
  </si>
  <si>
    <t xml:space="preserve">Method Traceability</t>
  </si>
  <si>
    <t xml:space="preserve">Standardized to CDC/NIST reference materials where applicable</t>
  </si>
  <si>
    <t xml:space="preserve">Interference Notes</t>
  </si>
  <si>
    <t xml:space="preserve">Hemolysis, lipemia and icterus may affect select analytes.</t>
  </si>
  <si>
    <t xml:space="preserve">Result Limitations</t>
  </si>
  <si>
    <t xml:space="preserve">Results should be interpreted in the clinical context by the ordering provider.</t>
  </si>
  <si>
    <t xml:space="preserve">Turnaround Time</t>
  </si>
  <si>
    <t xml:space="preserve">Routine: 24-48 hours from receipt</t>
  </si>
  <si>
    <t xml:space="preserve">Electronic Signature</t>
  </si>
  <si>
    <t xml:space="preserve">Verified — Victor H. Adeyemi, MD, FCAP</t>
  </si>
  <si>
    <t xml:space="preserve">Disclaimer</t>
  </si>
  <si>
    <t xml:space="preserve">This test was developed and its performance characteristics determined by the performing laboratory. Not evaluated by the FDA where LDT applies.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</si>
</sst>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E7D32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2E7D32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8"/>
      <color rgb="FF888888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1B5E2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1B5E20"/>
      <name val="Arial"/>
      <family val="0"/>
      <charset val="1"/>
    </font>
    <font>
      <b val="true"/>
      <sz val="11"/>
      <color rgb="FF2E7D32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E7D32"/>
        <bgColor rgb="FF1B5E20"/>
      </patternFill>
    </fill>
    <fill>
      <patternFill patternType="solid">
        <fgColor rgb="FF1B5E20"/>
        <bgColor rgb="FF2E7D32"/>
      </patternFill>
    </fill>
    <fill>
      <patternFill patternType="solid">
        <fgColor rgb="FFF8CBAD"/>
        <bgColor rgb="FFD9D9D9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4F81BD"/>
      <rgbColor rgb="FFD9D9D9"/>
      <rgbColor rgb="FF878787"/>
      <rgbColor rgb="FF9999FF"/>
      <rgbColor rgb="FFBE4B48"/>
      <rgbColor rgb="FFFFF2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4A7EBB"/>
      <rgbColor rgb="FF33CCCC"/>
      <rgbColor rgb="FF98B855"/>
      <rgbColor rgb="FFFFCC00"/>
      <rgbColor rgb="FFFF9900"/>
      <rgbColor rgb="FFFF6600"/>
      <rgbColor rgb="FF666666"/>
      <rgbColor rgb="FF888888"/>
      <rgbColor rgb="FF003366"/>
      <rgbColor rgb="FF2E7D32"/>
      <rgbColor rgb="FF003300"/>
      <rgbColor rgb="FF333300"/>
      <rgbColor rgb="FF993300"/>
      <rgbColor rgb="FFC0504D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Cholesterol (mg/dL) — last 6 results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'Historical Trend'!B3</c:f>
              <c:strCache>
                <c:ptCount val="1"/>
                <c:pt idx="0">
                  <c:v>Result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'Historical Trend'!$A$4:$A$9</c:f>
              <c:strCache>
                <c:ptCount val="6"/>
                <c:pt idx="0">
                  <c:v>2024-12-03</c:v>
                </c:pt>
                <c:pt idx="1">
                  <c:v>2025-03-03</c:v>
                </c:pt>
                <c:pt idx="2">
                  <c:v>2025-06-01</c:v>
                </c:pt>
                <c:pt idx="3">
                  <c:v>2025-08-30</c:v>
                </c:pt>
                <c:pt idx="4">
                  <c:v>2025-11-28</c:v>
                </c:pt>
                <c:pt idx="5">
                  <c:v>2026-02-26</c:v>
                </c:pt>
              </c:strCache>
            </c:strRef>
          </c:cat>
          <c:val>
            <c:numRef>
              <c:f>'Historical Trend'!$B$4:$B$9</c:f>
              <c:numCache>
                <c:formatCode>General</c:formatCode>
                <c:ptCount val="6"/>
                <c:pt idx="0">
                  <c:v>185.8</c:v>
                </c:pt>
                <c:pt idx="1">
                  <c:v>182.2</c:v>
                </c:pt>
                <c:pt idx="2">
                  <c:v>173.8</c:v>
                </c:pt>
                <c:pt idx="3">
                  <c:v>179.4</c:v>
                </c:pt>
                <c:pt idx="4">
                  <c:v>179.3</c:v>
                </c:pt>
                <c:pt idx="5">
                  <c:v>179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'Historical Trend'!C3</c:f>
              <c:strCache>
                <c:ptCount val="1"/>
                <c:pt idx="0">
                  <c:v>Ref Low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'Historical Trend'!$A$4:$A$9</c:f>
              <c:strCache>
                <c:ptCount val="6"/>
                <c:pt idx="0">
                  <c:v>2024-12-03</c:v>
                </c:pt>
                <c:pt idx="1">
                  <c:v>2025-03-03</c:v>
                </c:pt>
                <c:pt idx="2">
                  <c:v>2025-06-01</c:v>
                </c:pt>
                <c:pt idx="3">
                  <c:v>2025-08-30</c:v>
                </c:pt>
                <c:pt idx="4">
                  <c:v>2025-11-28</c:v>
                </c:pt>
                <c:pt idx="5">
                  <c:v>2026-02-26</c:v>
                </c:pt>
              </c:strCache>
            </c:strRef>
          </c:cat>
          <c:val>
            <c:numRef>
              <c:f>'Historical Trend'!$C$4:$C$9</c:f>
              <c:numCache>
                <c:formatCode>General</c:formatCode>
                <c:ptCount val="6"/>
                <c:pt idx="0">
                  <c:v>125</c:v>
                </c:pt>
                <c:pt idx="1">
                  <c:v>125</c:v>
                </c:pt>
                <c:pt idx="2">
                  <c:v>125</c:v>
                </c:pt>
                <c:pt idx="3">
                  <c:v>125</c:v>
                </c:pt>
                <c:pt idx="4">
                  <c:v>125</c:v>
                </c:pt>
                <c:pt idx="5">
                  <c:v>125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'Historical Trend'!D3</c:f>
              <c:strCache>
                <c:ptCount val="1"/>
                <c:pt idx="0">
                  <c:v>Ref High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'Historical Trend'!$A$4:$A$9</c:f>
              <c:strCache>
                <c:ptCount val="6"/>
                <c:pt idx="0">
                  <c:v>2024-12-03</c:v>
                </c:pt>
                <c:pt idx="1">
                  <c:v>2025-03-03</c:v>
                </c:pt>
                <c:pt idx="2">
                  <c:v>2025-06-01</c:v>
                </c:pt>
                <c:pt idx="3">
                  <c:v>2025-08-30</c:v>
                </c:pt>
                <c:pt idx="4">
                  <c:v>2025-11-28</c:v>
                </c:pt>
                <c:pt idx="5">
                  <c:v>2026-02-26</c:v>
                </c:pt>
              </c:strCache>
            </c:strRef>
          </c:cat>
          <c:val>
            <c:numRef>
              <c:f>'Historical Trend'!$D$4:$D$9</c:f>
              <c:numCache>
                <c:formatCode>General</c:formatCode>
                <c:ptCount val="6"/>
                <c:pt idx="0">
                  <c:v>200</c:v>
                </c:pt>
                <c:pt idx="1">
                  <c:v>200</c:v>
                </c:pt>
                <c:pt idx="2">
                  <c:v>200</c:v>
                </c:pt>
                <c:pt idx="3">
                  <c:v>200</c:v>
                </c:pt>
                <c:pt idx="4">
                  <c:v>200</c:v>
                </c:pt>
                <c:pt idx="5">
                  <c:v>200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495091"/>
        <c:axId val="89346404"/>
      </c:lineChart>
      <c:catAx>
        <c:axId val="649509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Collection 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346404"/>
        <c:crosses val="autoZero"/>
        <c:auto val="1"/>
        <c:lblAlgn val="ctr"/>
        <c:lblOffset val="100"/>
        <c:noMultiLvlLbl val="0"/>
      </c:catAx>
      <c:valAx>
        <c:axId val="893464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mg/dL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9509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Result vs Upper Reference Limit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'Result Visualization'!B22</c:f>
              <c:strCache>
                <c:ptCount val="1"/>
                <c:pt idx="0">
                  <c:v>Result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'Result Visualization'!$A$23:$A$30</c:f>
              <c:strCache>
                <c:ptCount val="8"/>
                <c:pt idx="0">
                  <c:v>Total Cholesterol</c:v>
                </c:pt>
                <c:pt idx="1">
                  <c:v>Triglycerides</c:v>
                </c:pt>
                <c:pt idx="2">
                  <c:v>HDL Cholesterol</c:v>
                </c:pt>
                <c:pt idx="3">
                  <c:v>LDL Cholesterol (Calc)</c:v>
                </c:pt>
                <c:pt idx="4">
                  <c:v>VLDL Cholesterol</c:v>
                </c:pt>
                <c:pt idx="5">
                  <c:v>Non-HDL Cholesterol</c:v>
                </c:pt>
                <c:pt idx="6">
                  <c:v>Cholesterol/HDL Ratio</c:v>
                </c:pt>
                <c:pt idx="7">
                  <c:v>Apolipoprotein B</c:v>
                </c:pt>
              </c:strCache>
            </c:strRef>
          </c:cat>
          <c:val>
            <c:numRef>
              <c:f>'Result Visualization'!$B$23:$B$30</c:f>
              <c:numCache>
                <c:formatCode>General</c:formatCode>
                <c:ptCount val="8"/>
                <c:pt idx="0">
                  <c:v>179</c:v>
                </c:pt>
                <c:pt idx="1">
                  <c:v>120</c:v>
                </c:pt>
                <c:pt idx="2">
                  <c:v>101</c:v>
                </c:pt>
                <c:pt idx="3">
                  <c:v>87</c:v>
                </c:pt>
                <c:pt idx="4">
                  <c:v>5</c:v>
                </c:pt>
                <c:pt idx="5">
                  <c:v>17</c:v>
                </c:pt>
                <c:pt idx="6">
                  <c:v>3.5</c:v>
                </c:pt>
                <c:pt idx="7">
                  <c:v>80</c:v>
                </c:pt>
              </c:numCache>
            </c:numRef>
          </c:val>
        </c:ser>
        <c:ser>
          <c:idx val="1"/>
          <c:order val="1"/>
          <c:tx>
            <c:strRef>
              <c:f>'Result Visualization'!C22</c:f>
              <c:strCache>
                <c:ptCount val="1"/>
                <c:pt idx="0">
                  <c:v>Ref High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'Result Visualization'!$A$23:$A$30</c:f>
              <c:strCache>
                <c:ptCount val="8"/>
                <c:pt idx="0">
                  <c:v>Total Cholesterol</c:v>
                </c:pt>
                <c:pt idx="1">
                  <c:v>Triglycerides</c:v>
                </c:pt>
                <c:pt idx="2">
                  <c:v>HDL Cholesterol</c:v>
                </c:pt>
                <c:pt idx="3">
                  <c:v>LDL Cholesterol (Calc)</c:v>
                </c:pt>
                <c:pt idx="4">
                  <c:v>VLDL Cholesterol</c:v>
                </c:pt>
                <c:pt idx="5">
                  <c:v>Non-HDL Cholesterol</c:v>
                </c:pt>
                <c:pt idx="6">
                  <c:v>Cholesterol/HDL Ratio</c:v>
                </c:pt>
                <c:pt idx="7">
                  <c:v>Apolipoprotein B</c:v>
                </c:pt>
              </c:strCache>
            </c:strRef>
          </c:cat>
          <c:val>
            <c:numRef>
              <c:f>'Result Visualization'!$C$23:$C$30</c:f>
              <c:numCache>
                <c:formatCode>General</c:formatCode>
                <c:ptCount val="8"/>
                <c:pt idx="0">
                  <c:v>200</c:v>
                </c:pt>
                <c:pt idx="1">
                  <c:v>150</c:v>
                </c:pt>
                <c:pt idx="2">
                  <c:v>80</c:v>
                </c:pt>
                <c:pt idx="3">
                  <c:v>100</c:v>
                </c:pt>
                <c:pt idx="4">
                  <c:v>40</c:v>
                </c:pt>
                <c:pt idx="5">
                  <c:v>130</c:v>
                </c:pt>
                <c:pt idx="6">
                  <c:v>5</c:v>
                </c:pt>
                <c:pt idx="7">
                  <c:v>100</c:v>
                </c:pt>
              </c:numCache>
            </c:numRef>
          </c:val>
        </c:ser>
        <c:gapWidth val="150"/>
        <c:overlap val="0"/>
        <c:axId val="9624112"/>
        <c:axId val="42684216"/>
      </c:barChart>
      <c:catAx>
        <c:axId val="9624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684216"/>
        <c:crosses val="autoZero"/>
        <c:auto val="1"/>
        <c:lblAlgn val="ctr"/>
        <c:lblOffset val="100"/>
        <c:noMultiLvlLbl val="0"/>
      </c:catAx>
      <c:valAx>
        <c:axId val="4268421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2411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2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image" Target="../media/image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750240</xdr:colOff>
      <xdr:row>2</xdr:row>
      <xdr:rowOff>228240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0"/>
          <a:ext cx="3428640" cy="9903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0</xdr:rowOff>
    </xdr:from>
    <xdr:to>
      <xdr:col>15</xdr:col>
      <xdr:colOff>364680</xdr:colOff>
      <xdr:row>19</xdr:row>
      <xdr:rowOff>1080</xdr:rowOff>
    </xdr:to>
    <xdr:graphicFrame>
      <xdr:nvGraphicFramePr>
        <xdr:cNvPr id="1" name="Chart 1"/>
        <xdr:cNvGraphicFramePr/>
      </xdr:nvGraphicFramePr>
      <xdr:xfrm>
        <a:off x="4699800" y="3808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21</xdr:row>
      <xdr:rowOff>0</xdr:rowOff>
    </xdr:from>
    <xdr:to>
      <xdr:col>12</xdr:col>
      <xdr:colOff>195840</xdr:colOff>
      <xdr:row>31</xdr:row>
      <xdr:rowOff>190440</xdr:rowOff>
    </xdr:to>
    <xdr:pic>
      <xdr:nvPicPr>
        <xdr:cNvPr id="2" name="Image 2" descr="Picture"/>
        <xdr:cNvPicPr/>
      </xdr:nvPicPr>
      <xdr:blipFill>
        <a:blip r:embed="rId2"/>
        <a:stretch/>
      </xdr:blipFill>
      <xdr:spPr>
        <a:xfrm>
          <a:off x="4699800" y="4000680"/>
          <a:ext cx="4476240" cy="20952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21</xdr:row>
      <xdr:rowOff>0</xdr:rowOff>
    </xdr:from>
    <xdr:to>
      <xdr:col>14</xdr:col>
      <xdr:colOff>364320</xdr:colOff>
      <xdr:row>38</xdr:row>
      <xdr:rowOff>1440</xdr:rowOff>
    </xdr:to>
    <xdr:graphicFrame>
      <xdr:nvGraphicFramePr>
        <xdr:cNvPr id="3" name="Chart 1"/>
        <xdr:cNvGraphicFramePr/>
      </xdr:nvGraphicFramePr>
      <xdr:xfrm>
        <a:off x="3666960" y="40006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</xdr:row>
      <xdr:rowOff>0</xdr:rowOff>
    </xdr:from>
    <xdr:to>
      <xdr:col>5</xdr:col>
      <xdr:colOff>483480</xdr:colOff>
      <xdr:row>13</xdr:row>
      <xdr:rowOff>190080</xdr:rowOff>
    </xdr:to>
    <xdr:pic>
      <xdr:nvPicPr>
        <xdr:cNvPr id="4" name="Image 2" descr="Picture"/>
        <xdr:cNvPicPr/>
      </xdr:nvPicPr>
      <xdr:blipFill>
        <a:blip r:embed="rId2"/>
        <a:stretch/>
      </xdr:blipFill>
      <xdr:spPr>
        <a:xfrm>
          <a:off x="0" y="380880"/>
          <a:ext cx="4762080" cy="22856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0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7" min="6" style="0" width="16"/>
    <col collapsed="false" customWidth="true" hidden="false" outlineLevel="0" max="8" min="8" style="0" width="14"/>
  </cols>
  <sheetData>
    <row r="1" customFormat="false" ht="30" hidden="false" customHeight="true" outlineLevel="0" collapsed="false">
      <c r="F1" s="1" t="s">
        <v>0</v>
      </c>
    </row>
    <row r="2" customFormat="false" ht="30" hidden="false" customHeight="true" outlineLevel="0" collapsed="false">
      <c r="F2" s="2" t="s">
        <v>1</v>
      </c>
    </row>
    <row r="3" customFormat="false" ht="30" hidden="false" customHeight="true" outlineLevel="0" collapsed="false">
      <c r="F3" s="2" t="s">
        <v>2</v>
      </c>
    </row>
    <row r="6" customFormat="false" ht="21.75" hidden="false" customHeight="true" outlineLevel="0" collapsed="false">
      <c r="A6" s="3" t="s">
        <v>3</v>
      </c>
      <c r="B6" s="3"/>
      <c r="C6" s="3"/>
      <c r="D6" s="3"/>
      <c r="E6" s="3"/>
      <c r="F6" s="3"/>
      <c r="G6" s="3"/>
      <c r="H6" s="3"/>
    </row>
    <row r="8" customFormat="false" ht="15" hidden="false" customHeight="false" outlineLevel="0" collapsed="false">
      <c r="A8" s="4" t="s">
        <v>4</v>
      </c>
      <c r="B8" s="5" t="s">
        <v>5</v>
      </c>
      <c r="E8" s="4" t="s">
        <v>6</v>
      </c>
      <c r="F8" s="5" t="s">
        <v>7</v>
      </c>
    </row>
    <row r="9" customFormat="false" ht="15" hidden="false" customHeight="false" outlineLevel="0" collapsed="false">
      <c r="A9" s="4" t="s">
        <v>8</v>
      </c>
      <c r="B9" s="5" t="s">
        <v>9</v>
      </c>
      <c r="E9" s="4" t="s">
        <v>10</v>
      </c>
      <c r="F9" s="5" t="s">
        <v>11</v>
      </c>
    </row>
    <row r="10" customFormat="false" ht="15" hidden="false" customHeight="false" outlineLevel="0" collapsed="false">
      <c r="A10" s="4" t="s">
        <v>12</v>
      </c>
      <c r="B10" s="5" t="s">
        <v>13</v>
      </c>
      <c r="E10" s="4" t="s">
        <v>14</v>
      </c>
      <c r="F10" s="5" t="s">
        <v>11</v>
      </c>
    </row>
    <row r="11" customFormat="false" ht="15" hidden="false" customHeight="false" outlineLevel="0" collapsed="false">
      <c r="A11" s="4" t="s">
        <v>15</v>
      </c>
      <c r="B11" s="5" t="s">
        <v>16</v>
      </c>
      <c r="E11" s="4" t="s">
        <v>17</v>
      </c>
      <c r="F11" s="5" t="s">
        <v>18</v>
      </c>
    </row>
    <row r="12" customFormat="false" ht="15" hidden="false" customHeight="false" outlineLevel="0" collapsed="false">
      <c r="A12" s="4" t="s">
        <v>19</v>
      </c>
      <c r="B12" s="5" t="s">
        <v>20</v>
      </c>
      <c r="E12" s="4" t="s">
        <v>21</v>
      </c>
      <c r="F12" s="5" t="s">
        <v>22</v>
      </c>
    </row>
    <row r="14" customFormat="false" ht="15" hidden="false" customHeight="false" outlineLevel="0" collapsed="false">
      <c r="A14" s="6" t="s">
        <v>23</v>
      </c>
      <c r="B14" s="6"/>
      <c r="C14" s="6"/>
      <c r="D14" s="6"/>
      <c r="E14" s="6"/>
      <c r="F14" s="6"/>
      <c r="G14" s="6"/>
      <c r="H14" s="6"/>
    </row>
    <row r="15" customFormat="false" ht="15" hidden="false" customHeight="false" outlineLevel="0" collapsed="false">
      <c r="A15" s="7" t="s">
        <v>24</v>
      </c>
      <c r="B15" s="8"/>
      <c r="C15" s="8"/>
      <c r="D15" s="7" t="s">
        <v>25</v>
      </c>
      <c r="E15" s="8"/>
      <c r="F15" s="7" t="s">
        <v>26</v>
      </c>
      <c r="G15" s="7" t="s">
        <v>27</v>
      </c>
      <c r="H15" s="8"/>
    </row>
    <row r="16" customFormat="false" ht="15" hidden="false" customHeight="false" outlineLevel="0" collapsed="false">
      <c r="A16" s="9" t="s">
        <v>28</v>
      </c>
      <c r="B16" s="9"/>
      <c r="C16" s="9"/>
      <c r="D16" s="9" t="s">
        <v>29</v>
      </c>
      <c r="E16" s="9"/>
      <c r="F16" s="9" t="s">
        <v>30</v>
      </c>
      <c r="G16" s="9" t="s">
        <v>31</v>
      </c>
      <c r="H16" s="9"/>
    </row>
    <row r="17" customFormat="false" ht="15" hidden="false" customHeight="false" outlineLevel="0" collapsed="false">
      <c r="A17" s="10" t="s">
        <v>32</v>
      </c>
      <c r="B17" s="10"/>
      <c r="C17" s="10"/>
      <c r="D17" s="10" t="s">
        <v>33</v>
      </c>
      <c r="E17" s="10"/>
      <c r="F17" s="10" t="s">
        <v>34</v>
      </c>
      <c r="G17" s="10" t="s">
        <v>35</v>
      </c>
      <c r="H17" s="10"/>
    </row>
    <row r="18" customFormat="false" ht="15" hidden="false" customHeight="false" outlineLevel="0" collapsed="false">
      <c r="A18" s="10" t="s">
        <v>36</v>
      </c>
      <c r="B18" s="10"/>
      <c r="C18" s="10"/>
      <c r="D18" s="10" t="s">
        <v>37</v>
      </c>
      <c r="E18" s="10"/>
      <c r="F18" s="10" t="s">
        <v>34</v>
      </c>
      <c r="G18" s="10" t="s">
        <v>38</v>
      </c>
      <c r="H18" s="10"/>
    </row>
    <row r="19" customFormat="false" ht="15" hidden="false" customHeight="false" outlineLevel="0" collapsed="false">
      <c r="A19" s="10" t="s">
        <v>39</v>
      </c>
      <c r="B19" s="10"/>
      <c r="C19" s="10"/>
      <c r="D19" s="10" t="s">
        <v>40</v>
      </c>
      <c r="E19" s="10"/>
      <c r="F19" s="10" t="s">
        <v>34</v>
      </c>
      <c r="G19" s="10" t="s">
        <v>41</v>
      </c>
      <c r="H19" s="10"/>
    </row>
    <row r="21" customFormat="false" ht="15" hidden="false" customHeight="false" outlineLevel="0" collapsed="false">
      <c r="A21" s="11" t="s">
        <v>42</v>
      </c>
      <c r="B21" s="11"/>
      <c r="C21" s="11"/>
      <c r="D21" s="11"/>
      <c r="E21" s="11"/>
      <c r="F21" s="11"/>
      <c r="G21" s="11"/>
      <c r="H21" s="11"/>
    </row>
    <row r="22" customFormat="false" ht="15" hidden="false" customHeight="false" outlineLevel="0" collapsed="false">
      <c r="A22" s="11"/>
      <c r="B22" s="11"/>
      <c r="C22" s="11"/>
      <c r="D22" s="11"/>
      <c r="E22" s="11"/>
      <c r="F22" s="11"/>
      <c r="G22" s="11"/>
      <c r="H22" s="11"/>
    </row>
    <row r="24" customFormat="false" ht="15" hidden="false" customHeight="false" outlineLevel="0" collapsed="false">
      <c r="A24" s="12" t="s">
        <v>43</v>
      </c>
    </row>
  </sheetData>
  <mergeCells count="3">
    <mergeCell ref="A6:H6"/>
    <mergeCell ref="A14:H14"/>
    <mergeCell ref="A21:H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4"/>
    <col collapsed="false" customWidth="true" hidden="false" outlineLevel="0" max="4" min="4" style="0" width="26"/>
    <col collapsed="false" customWidth="true" hidden="false" outlineLevel="0" max="5" min="5" style="0" width="34"/>
  </cols>
  <sheetData>
    <row r="1" customFormat="false" ht="15" hidden="false" customHeight="false" outlineLevel="0" collapsed="false">
      <c r="A1" s="13" t="s">
        <v>44</v>
      </c>
      <c r="B1" s="13"/>
      <c r="D1" s="13" t="s">
        <v>45</v>
      </c>
      <c r="E1" s="13"/>
    </row>
    <row r="2" customFormat="false" ht="15" hidden="false" customHeight="false" outlineLevel="0" collapsed="false">
      <c r="A2" s="14" t="s">
        <v>46</v>
      </c>
      <c r="B2" s="15" t="s">
        <v>5</v>
      </c>
      <c r="D2" s="14" t="s">
        <v>6</v>
      </c>
      <c r="E2" s="15" t="s">
        <v>7</v>
      </c>
    </row>
    <row r="3" customFormat="false" ht="15" hidden="false" customHeight="false" outlineLevel="0" collapsed="false">
      <c r="A3" s="14" t="s">
        <v>47</v>
      </c>
      <c r="B3" s="15" t="s">
        <v>9</v>
      </c>
      <c r="D3" s="14" t="s">
        <v>19</v>
      </c>
      <c r="E3" s="15" t="s">
        <v>20</v>
      </c>
    </row>
    <row r="4" customFormat="false" ht="15" hidden="false" customHeight="false" outlineLevel="0" collapsed="false">
      <c r="A4" s="14" t="s">
        <v>48</v>
      </c>
      <c r="B4" s="15" t="s">
        <v>13</v>
      </c>
      <c r="D4" s="14" t="s">
        <v>49</v>
      </c>
      <c r="E4" s="15" t="s">
        <v>50</v>
      </c>
    </row>
    <row r="5" customFormat="false" ht="15" hidden="false" customHeight="false" outlineLevel="0" collapsed="false">
      <c r="A5" s="14" t="s">
        <v>51</v>
      </c>
      <c r="B5" s="15" t="s">
        <v>52</v>
      </c>
      <c r="D5" s="14" t="s">
        <v>53</v>
      </c>
      <c r="E5" s="15" t="s">
        <v>22</v>
      </c>
    </row>
    <row r="6" customFormat="false" ht="15" hidden="false" customHeight="false" outlineLevel="0" collapsed="false">
      <c r="A6" s="14" t="s">
        <v>54</v>
      </c>
      <c r="B6" s="15" t="s">
        <v>55</v>
      </c>
      <c r="D6" s="14" t="s">
        <v>10</v>
      </c>
      <c r="E6" s="15" t="s">
        <v>11</v>
      </c>
    </row>
    <row r="7" customFormat="false" ht="15" hidden="false" customHeight="false" outlineLevel="0" collapsed="false">
      <c r="A7" s="14" t="s">
        <v>56</v>
      </c>
      <c r="B7" s="15" t="s">
        <v>57</v>
      </c>
      <c r="D7" s="14" t="s">
        <v>14</v>
      </c>
      <c r="E7" s="15" t="s">
        <v>11</v>
      </c>
    </row>
    <row r="8" customFormat="false" ht="15" hidden="false" customHeight="false" outlineLevel="0" collapsed="false">
      <c r="A8" s="14" t="s">
        <v>58</v>
      </c>
      <c r="B8" s="15" t="s">
        <v>59</v>
      </c>
      <c r="D8" s="14" t="s">
        <v>17</v>
      </c>
      <c r="E8" s="15" t="s">
        <v>18</v>
      </c>
    </row>
    <row r="9" customFormat="false" ht="15" hidden="false" customHeight="false" outlineLevel="0" collapsed="false">
      <c r="A9" s="14" t="s">
        <v>60</v>
      </c>
      <c r="B9" s="15" t="s">
        <v>61</v>
      </c>
      <c r="D9" s="14" t="s">
        <v>62</v>
      </c>
      <c r="E9" s="15" t="s">
        <v>63</v>
      </c>
    </row>
    <row r="10" customFormat="false" ht="15" hidden="false" customHeight="false" outlineLevel="0" collapsed="false">
      <c r="A10" s="16"/>
      <c r="B10" s="16"/>
      <c r="D10" s="14" t="s">
        <v>64</v>
      </c>
      <c r="E10" s="15" t="s">
        <v>65</v>
      </c>
    </row>
    <row r="11" customFormat="false" ht="15" hidden="false" customHeight="false" outlineLevel="0" collapsed="false">
      <c r="A11" s="16"/>
      <c r="B11" s="16"/>
      <c r="D11" s="16"/>
      <c r="E11" s="16"/>
    </row>
  </sheetData>
  <mergeCells count="2">
    <mergeCell ref="A1:B1"/>
    <mergeCell ref="D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4"/>
    <col collapsed="false" customWidth="true" hidden="false" outlineLevel="0" max="4" min="4" style="0" width="22"/>
    <col collapsed="false" customWidth="true" hidden="false" outlineLevel="0" max="5" min="5" style="0" width="12"/>
    <col collapsed="false" customWidth="true" hidden="false" outlineLevel="0" max="6" min="6" style="0" width="26"/>
  </cols>
  <sheetData>
    <row r="1" customFormat="false" ht="19.5" hidden="false" customHeight="true" outlineLevel="0" collapsed="false">
      <c r="A1" s="17" t="s">
        <v>66</v>
      </c>
      <c r="B1" s="17"/>
      <c r="C1" s="17"/>
      <c r="D1" s="17"/>
      <c r="E1" s="17"/>
      <c r="F1" s="17"/>
    </row>
    <row r="3" customFormat="false" ht="15" hidden="false" customHeight="false" outlineLevel="0" collapsed="false">
      <c r="A3" s="18" t="s">
        <v>67</v>
      </c>
      <c r="B3" s="18" t="s">
        <v>25</v>
      </c>
      <c r="C3" s="18" t="s">
        <v>68</v>
      </c>
      <c r="D3" s="18" t="s">
        <v>69</v>
      </c>
      <c r="E3" s="18" t="s">
        <v>26</v>
      </c>
      <c r="F3" s="18" t="s">
        <v>70</v>
      </c>
    </row>
    <row r="4" customFormat="false" ht="15" hidden="false" customHeight="false" outlineLevel="0" collapsed="false">
      <c r="A4" s="15" t="s">
        <v>71</v>
      </c>
      <c r="B4" s="19" t="n">
        <v>179</v>
      </c>
      <c r="C4" s="15" t="s">
        <v>72</v>
      </c>
      <c r="D4" s="15" t="s">
        <v>73</v>
      </c>
      <c r="E4" s="19"/>
      <c r="F4" s="15" t="s">
        <v>74</v>
      </c>
    </row>
    <row r="5" customFormat="false" ht="15" hidden="false" customHeight="false" outlineLevel="0" collapsed="false">
      <c r="A5" s="15" t="s">
        <v>75</v>
      </c>
      <c r="B5" s="19" t="n">
        <v>120</v>
      </c>
      <c r="C5" s="15" t="s">
        <v>72</v>
      </c>
      <c r="D5" s="15" t="s">
        <v>76</v>
      </c>
      <c r="E5" s="19"/>
      <c r="F5" s="15" t="s">
        <v>77</v>
      </c>
    </row>
    <row r="6" customFormat="false" ht="15" hidden="false" customHeight="false" outlineLevel="0" collapsed="false">
      <c r="A6" s="20" t="s">
        <v>28</v>
      </c>
      <c r="B6" s="21" t="n">
        <v>101</v>
      </c>
      <c r="C6" s="20" t="s">
        <v>72</v>
      </c>
      <c r="D6" s="20" t="s">
        <v>31</v>
      </c>
      <c r="E6" s="22" t="s">
        <v>30</v>
      </c>
      <c r="F6" s="20" t="s">
        <v>78</v>
      </c>
    </row>
    <row r="7" customFormat="false" ht="15" hidden="false" customHeight="false" outlineLevel="0" collapsed="false">
      <c r="A7" s="15" t="s">
        <v>79</v>
      </c>
      <c r="B7" s="19" t="n">
        <v>87</v>
      </c>
      <c r="C7" s="15" t="s">
        <v>72</v>
      </c>
      <c r="D7" s="15" t="s">
        <v>80</v>
      </c>
      <c r="E7" s="19"/>
      <c r="F7" s="15" t="s">
        <v>81</v>
      </c>
    </row>
    <row r="8" customFormat="false" ht="15" hidden="false" customHeight="false" outlineLevel="0" collapsed="false">
      <c r="A8" s="15" t="s">
        <v>82</v>
      </c>
      <c r="B8" s="19" t="n">
        <v>5</v>
      </c>
      <c r="C8" s="15" t="s">
        <v>72</v>
      </c>
      <c r="D8" s="15" t="s">
        <v>83</v>
      </c>
      <c r="E8" s="19"/>
      <c r="F8" s="15" t="s">
        <v>84</v>
      </c>
    </row>
    <row r="9" customFormat="false" ht="15" hidden="false" customHeight="false" outlineLevel="0" collapsed="false">
      <c r="A9" s="23" t="s">
        <v>32</v>
      </c>
      <c r="B9" s="24" t="n">
        <v>17</v>
      </c>
      <c r="C9" s="23" t="s">
        <v>72</v>
      </c>
      <c r="D9" s="23" t="s">
        <v>35</v>
      </c>
      <c r="E9" s="25" t="s">
        <v>34</v>
      </c>
      <c r="F9" s="23" t="s">
        <v>84</v>
      </c>
    </row>
    <row r="10" customFormat="false" ht="15" hidden="false" customHeight="false" outlineLevel="0" collapsed="false">
      <c r="A10" s="15" t="s">
        <v>85</v>
      </c>
      <c r="B10" s="19" t="n">
        <v>3.5</v>
      </c>
      <c r="C10" s="15" t="s">
        <v>86</v>
      </c>
      <c r="D10" s="15" t="s">
        <v>87</v>
      </c>
      <c r="E10" s="19"/>
      <c r="F10" s="15" t="s">
        <v>84</v>
      </c>
    </row>
    <row r="11" customFormat="false" ht="15" hidden="false" customHeight="false" outlineLevel="0" collapsed="false">
      <c r="A11" s="15" t="s">
        <v>88</v>
      </c>
      <c r="B11" s="19" t="n">
        <v>80</v>
      </c>
      <c r="C11" s="15" t="s">
        <v>72</v>
      </c>
      <c r="D11" s="15" t="s">
        <v>89</v>
      </c>
      <c r="E11" s="19"/>
      <c r="F11" s="15" t="s">
        <v>90</v>
      </c>
    </row>
    <row r="12" customFormat="false" ht="15" hidden="false" customHeight="false" outlineLevel="0" collapsed="false">
      <c r="A12" s="23" t="s">
        <v>36</v>
      </c>
      <c r="B12" s="24" t="n">
        <v>1</v>
      </c>
      <c r="C12" s="23" t="s">
        <v>91</v>
      </c>
      <c r="D12" s="23" t="s">
        <v>38</v>
      </c>
      <c r="E12" s="25" t="s">
        <v>34</v>
      </c>
      <c r="F12" s="23" t="s">
        <v>90</v>
      </c>
    </row>
    <row r="13" customFormat="false" ht="15" hidden="false" customHeight="false" outlineLevel="0" collapsed="false">
      <c r="A13" s="23" t="s">
        <v>39</v>
      </c>
      <c r="B13" s="24" t="n">
        <v>0</v>
      </c>
      <c r="C13" s="23" t="s">
        <v>92</v>
      </c>
      <c r="D13" s="23" t="s">
        <v>41</v>
      </c>
      <c r="E13" s="25" t="s">
        <v>34</v>
      </c>
      <c r="F13" s="23" t="s">
        <v>90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5" min="2" style="0" width="14"/>
    <col collapsed="false" customWidth="true" hidden="false" outlineLevel="0" max="6" min="6" style="0" width="28"/>
  </cols>
  <sheetData>
    <row r="1" customFormat="false" ht="15" hidden="false" customHeight="false" outlineLevel="0" collapsed="false">
      <c r="A1" s="17" t="s">
        <v>93</v>
      </c>
      <c r="B1" s="17"/>
      <c r="C1" s="17"/>
      <c r="D1" s="17"/>
      <c r="E1" s="17"/>
      <c r="F1" s="17"/>
    </row>
    <row r="3" customFormat="false" ht="15" hidden="false" customHeight="false" outlineLevel="0" collapsed="false">
      <c r="A3" s="26" t="s">
        <v>24</v>
      </c>
      <c r="B3" s="26" t="s">
        <v>94</v>
      </c>
      <c r="C3" s="26" t="s">
        <v>68</v>
      </c>
      <c r="D3" s="26" t="s">
        <v>95</v>
      </c>
      <c r="E3" s="26" t="s">
        <v>96</v>
      </c>
      <c r="F3" s="26" t="s">
        <v>70</v>
      </c>
    </row>
    <row r="4" customFormat="false" ht="15" hidden="false" customHeight="false" outlineLevel="0" collapsed="false">
      <c r="A4" s="27" t="s">
        <v>71</v>
      </c>
      <c r="B4" s="27" t="s">
        <v>97</v>
      </c>
      <c r="C4" s="27" t="s">
        <v>72</v>
      </c>
      <c r="D4" s="27" t="n">
        <v>125</v>
      </c>
      <c r="E4" s="27" t="n">
        <v>200</v>
      </c>
      <c r="F4" s="27" t="s">
        <v>74</v>
      </c>
    </row>
    <row r="5" customFormat="false" ht="15" hidden="false" customHeight="false" outlineLevel="0" collapsed="false">
      <c r="A5" s="27" t="s">
        <v>75</v>
      </c>
      <c r="B5" s="27" t="s">
        <v>98</v>
      </c>
      <c r="C5" s="27" t="s">
        <v>72</v>
      </c>
      <c r="D5" s="27" t="n">
        <v>40</v>
      </c>
      <c r="E5" s="27" t="n">
        <v>150</v>
      </c>
      <c r="F5" s="27" t="s">
        <v>77</v>
      </c>
    </row>
    <row r="6" customFormat="false" ht="15" hidden="false" customHeight="false" outlineLevel="0" collapsed="false">
      <c r="A6" s="27" t="s">
        <v>28</v>
      </c>
      <c r="B6" s="27" t="s">
        <v>99</v>
      </c>
      <c r="C6" s="27" t="s">
        <v>72</v>
      </c>
      <c r="D6" s="27" t="n">
        <v>40</v>
      </c>
      <c r="E6" s="27" t="n">
        <v>80</v>
      </c>
      <c r="F6" s="27" t="s">
        <v>78</v>
      </c>
    </row>
    <row r="7" customFormat="false" ht="15" hidden="false" customHeight="false" outlineLevel="0" collapsed="false">
      <c r="A7" s="27" t="s">
        <v>79</v>
      </c>
      <c r="B7" s="27" t="s">
        <v>100</v>
      </c>
      <c r="C7" s="27" t="s">
        <v>72</v>
      </c>
      <c r="D7" s="27" t="n">
        <v>50</v>
      </c>
      <c r="E7" s="27" t="n">
        <v>100</v>
      </c>
      <c r="F7" s="27" t="s">
        <v>81</v>
      </c>
    </row>
    <row r="8" customFormat="false" ht="15" hidden="false" customHeight="false" outlineLevel="0" collapsed="false">
      <c r="A8" s="27" t="s">
        <v>82</v>
      </c>
      <c r="B8" s="27" t="s">
        <v>101</v>
      </c>
      <c r="C8" s="27" t="s">
        <v>72</v>
      </c>
      <c r="D8" s="27" t="n">
        <v>5</v>
      </c>
      <c r="E8" s="27" t="n">
        <v>40</v>
      </c>
      <c r="F8" s="27" t="s">
        <v>84</v>
      </c>
    </row>
    <row r="9" customFormat="false" ht="15" hidden="false" customHeight="false" outlineLevel="0" collapsed="false">
      <c r="A9" s="27" t="s">
        <v>32</v>
      </c>
      <c r="B9" s="27" t="s">
        <v>102</v>
      </c>
      <c r="C9" s="27" t="s">
        <v>72</v>
      </c>
      <c r="D9" s="27" t="n">
        <v>50</v>
      </c>
      <c r="E9" s="27" t="n">
        <v>130</v>
      </c>
      <c r="F9" s="27" t="s">
        <v>84</v>
      </c>
    </row>
    <row r="10" customFormat="false" ht="15" hidden="false" customHeight="false" outlineLevel="0" collapsed="false">
      <c r="A10" s="27" t="s">
        <v>85</v>
      </c>
      <c r="B10" s="27" t="s">
        <v>103</v>
      </c>
      <c r="C10" s="27" t="s">
        <v>86</v>
      </c>
      <c r="D10" s="27" t="n">
        <v>1.5</v>
      </c>
      <c r="E10" s="27" t="n">
        <v>5</v>
      </c>
      <c r="F10" s="27" t="s">
        <v>84</v>
      </c>
    </row>
    <row r="11" customFormat="false" ht="15" hidden="false" customHeight="false" outlineLevel="0" collapsed="false">
      <c r="A11" s="27" t="s">
        <v>88</v>
      </c>
      <c r="B11" s="27" t="s">
        <v>104</v>
      </c>
      <c r="C11" s="27" t="s">
        <v>72</v>
      </c>
      <c r="D11" s="27" t="n">
        <v>55</v>
      </c>
      <c r="E11" s="27" t="n">
        <v>100</v>
      </c>
      <c r="F11" s="27" t="s">
        <v>90</v>
      </c>
    </row>
    <row r="12" customFormat="false" ht="15" hidden="false" customHeight="false" outlineLevel="0" collapsed="false">
      <c r="A12" s="27" t="s">
        <v>36</v>
      </c>
      <c r="B12" s="27" t="s">
        <v>105</v>
      </c>
      <c r="C12" s="27" t="s">
        <v>91</v>
      </c>
      <c r="D12" s="27" t="n">
        <v>10</v>
      </c>
      <c r="E12" s="27" t="n">
        <v>75</v>
      </c>
      <c r="F12" s="27" t="s">
        <v>90</v>
      </c>
    </row>
    <row r="13" customFormat="false" ht="15" hidden="false" customHeight="false" outlineLevel="0" collapsed="false">
      <c r="A13" s="27" t="s">
        <v>39</v>
      </c>
      <c r="B13" s="27" t="s">
        <v>106</v>
      </c>
      <c r="C13" s="27" t="s">
        <v>92</v>
      </c>
      <c r="D13" s="27" t="n">
        <v>0.1</v>
      </c>
      <c r="E13" s="27" t="n">
        <v>3</v>
      </c>
      <c r="F13" s="27" t="s">
        <v>90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2" style="0" width="14"/>
  </cols>
  <sheetData>
    <row r="1" customFormat="false" ht="15" hidden="false" customHeight="false" outlineLevel="0" collapsed="false">
      <c r="A1" s="17" t="s">
        <v>107</v>
      </c>
      <c r="B1" s="17"/>
      <c r="C1" s="17"/>
      <c r="D1" s="17"/>
    </row>
    <row r="3" customFormat="false" ht="15" hidden="false" customHeight="false" outlineLevel="0" collapsed="false">
      <c r="A3" s="28" t="s">
        <v>108</v>
      </c>
      <c r="B3" s="28" t="s">
        <v>25</v>
      </c>
      <c r="C3" s="28" t="s">
        <v>109</v>
      </c>
      <c r="D3" s="28" t="s">
        <v>110</v>
      </c>
    </row>
    <row r="4" customFormat="false" ht="15" hidden="false" customHeight="false" outlineLevel="0" collapsed="false">
      <c r="A4" s="0" t="s">
        <v>111</v>
      </c>
      <c r="B4" s="0" t="n">
        <v>185.8</v>
      </c>
      <c r="C4" s="0" t="n">
        <v>125</v>
      </c>
      <c r="D4" s="0" t="n">
        <v>200</v>
      </c>
    </row>
    <row r="5" customFormat="false" ht="15" hidden="false" customHeight="false" outlineLevel="0" collapsed="false">
      <c r="A5" s="0" t="s">
        <v>112</v>
      </c>
      <c r="B5" s="0" t="n">
        <v>182.2</v>
      </c>
      <c r="C5" s="0" t="n">
        <v>125</v>
      </c>
      <c r="D5" s="0" t="n">
        <v>200</v>
      </c>
    </row>
    <row r="6" customFormat="false" ht="15" hidden="false" customHeight="false" outlineLevel="0" collapsed="false">
      <c r="A6" s="0" t="s">
        <v>113</v>
      </c>
      <c r="B6" s="0" t="n">
        <v>173.8</v>
      </c>
      <c r="C6" s="0" t="n">
        <v>125</v>
      </c>
      <c r="D6" s="0" t="n">
        <v>200</v>
      </c>
    </row>
    <row r="7" customFormat="false" ht="15" hidden="false" customHeight="false" outlineLevel="0" collapsed="false">
      <c r="A7" s="0" t="s">
        <v>114</v>
      </c>
      <c r="B7" s="0" t="n">
        <v>179.4</v>
      </c>
      <c r="C7" s="0" t="n">
        <v>125</v>
      </c>
      <c r="D7" s="0" t="n">
        <v>200</v>
      </c>
    </row>
    <row r="8" customFormat="false" ht="15" hidden="false" customHeight="false" outlineLevel="0" collapsed="false">
      <c r="A8" s="0" t="s">
        <v>115</v>
      </c>
      <c r="B8" s="0" t="n">
        <v>179.3</v>
      </c>
      <c r="C8" s="0" t="n">
        <v>125</v>
      </c>
      <c r="D8" s="0" t="n">
        <v>200</v>
      </c>
    </row>
    <row r="9" customFormat="false" ht="15" hidden="false" customHeight="false" outlineLevel="0" collapsed="false">
      <c r="A9" s="0" t="s">
        <v>18</v>
      </c>
      <c r="B9" s="0" t="n">
        <v>179</v>
      </c>
      <c r="C9" s="0" t="n">
        <v>125</v>
      </c>
      <c r="D9" s="0" t="n">
        <v>200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</cols>
  <sheetData>
    <row r="1" customFormat="false" ht="15" hidden="false" customHeight="false" outlineLevel="0" collapsed="false">
      <c r="A1" s="17" t="s">
        <v>116</v>
      </c>
      <c r="B1" s="17"/>
      <c r="C1" s="17"/>
      <c r="D1" s="17"/>
      <c r="E1" s="17"/>
      <c r="F1" s="17"/>
    </row>
    <row r="22" customFormat="false" ht="15" hidden="false" customHeight="false" outlineLevel="0" collapsed="false">
      <c r="A22" s="28" t="s">
        <v>24</v>
      </c>
      <c r="B22" s="28" t="s">
        <v>25</v>
      </c>
      <c r="C22" s="28" t="s">
        <v>110</v>
      </c>
    </row>
    <row r="23" customFormat="false" ht="15" hidden="false" customHeight="false" outlineLevel="0" collapsed="false">
      <c r="A23" s="0" t="s">
        <v>71</v>
      </c>
      <c r="B23" s="0" t="n">
        <v>179</v>
      </c>
      <c r="C23" s="0" t="n">
        <v>200</v>
      </c>
    </row>
    <row r="24" customFormat="false" ht="15" hidden="false" customHeight="false" outlineLevel="0" collapsed="false">
      <c r="A24" s="0" t="s">
        <v>75</v>
      </c>
      <c r="B24" s="0" t="n">
        <v>120</v>
      </c>
      <c r="C24" s="0" t="n">
        <v>150</v>
      </c>
    </row>
    <row r="25" customFormat="false" ht="15" hidden="false" customHeight="false" outlineLevel="0" collapsed="false">
      <c r="A25" s="0" t="s">
        <v>28</v>
      </c>
      <c r="B25" s="0" t="n">
        <v>101</v>
      </c>
      <c r="C25" s="0" t="n">
        <v>80</v>
      </c>
    </row>
    <row r="26" customFormat="false" ht="15" hidden="false" customHeight="false" outlineLevel="0" collapsed="false">
      <c r="A26" s="0" t="s">
        <v>79</v>
      </c>
      <c r="B26" s="0" t="n">
        <v>87</v>
      </c>
      <c r="C26" s="0" t="n">
        <v>100</v>
      </c>
    </row>
    <row r="27" customFormat="false" ht="15" hidden="false" customHeight="false" outlineLevel="0" collapsed="false">
      <c r="A27" s="0" t="s">
        <v>82</v>
      </c>
      <c r="B27" s="0" t="n">
        <v>5</v>
      </c>
      <c r="C27" s="0" t="n">
        <v>40</v>
      </c>
    </row>
    <row r="28" customFormat="false" ht="15" hidden="false" customHeight="false" outlineLevel="0" collapsed="false">
      <c r="A28" s="0" t="s">
        <v>32</v>
      </c>
      <c r="B28" s="0" t="n">
        <v>17</v>
      </c>
      <c r="C28" s="0" t="n">
        <v>130</v>
      </c>
    </row>
    <row r="29" customFormat="false" ht="15" hidden="false" customHeight="false" outlineLevel="0" collapsed="false">
      <c r="A29" s="0" t="s">
        <v>85</v>
      </c>
      <c r="B29" s="0" t="n">
        <v>3.5</v>
      </c>
      <c r="C29" s="0" t="n">
        <v>5</v>
      </c>
    </row>
    <row r="30" customFormat="false" ht="15" hidden="false" customHeight="false" outlineLevel="0" collapsed="false">
      <c r="A30" s="0" t="s">
        <v>88</v>
      </c>
      <c r="B30" s="0" t="n">
        <v>80</v>
      </c>
      <c r="C30" s="0" t="n">
        <v>100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7" min="2" style="0" width="14"/>
    <col collapsed="false" customWidth="true" hidden="false" outlineLevel="0" max="8" min="8" style="0" width="16"/>
  </cols>
  <sheetData>
    <row r="1" customFormat="false" ht="15" hidden="false" customHeight="false" outlineLevel="0" collapsed="false">
      <c r="A1" s="17" t="s">
        <v>117</v>
      </c>
      <c r="B1" s="17"/>
      <c r="C1" s="17"/>
      <c r="D1" s="17"/>
      <c r="E1" s="17"/>
      <c r="F1" s="17"/>
      <c r="G1" s="17"/>
      <c r="H1" s="17"/>
    </row>
    <row r="3" customFormat="false" ht="15" hidden="false" customHeight="false" outlineLevel="0" collapsed="false">
      <c r="A3" s="26" t="s">
        <v>118</v>
      </c>
      <c r="B3" s="26" t="s">
        <v>119</v>
      </c>
      <c r="C3" s="26" t="s">
        <v>120</v>
      </c>
      <c r="D3" s="26" t="s">
        <v>121</v>
      </c>
      <c r="E3" s="26" t="s">
        <v>122</v>
      </c>
      <c r="F3" s="26" t="s">
        <v>123</v>
      </c>
      <c r="G3" s="26" t="s">
        <v>124</v>
      </c>
      <c r="H3" s="26" t="s">
        <v>125</v>
      </c>
    </row>
    <row r="4" customFormat="false" ht="15" hidden="false" customHeight="false" outlineLevel="0" collapsed="false">
      <c r="A4" s="16" t="s">
        <v>126</v>
      </c>
      <c r="B4" s="16" t="n">
        <v>38</v>
      </c>
      <c r="C4" s="16" t="n">
        <v>38.01</v>
      </c>
      <c r="D4" s="16" t="n">
        <v>36.6</v>
      </c>
      <c r="E4" s="16" t="n">
        <v>38.32</v>
      </c>
      <c r="F4" s="16" t="n">
        <f aca="false">AVERAGE(C4:E4)</f>
        <v>37.6433333333333</v>
      </c>
      <c r="G4" s="16" t="n">
        <f aca="false">STDEV(C4:E4)</f>
        <v>0.916751511225006</v>
      </c>
      <c r="H4" s="29" t="n">
        <f aca="false">IF(F4=0,0,G4/F4*100)</f>
        <v>2.4353622010759</v>
      </c>
    </row>
    <row r="5" customFormat="false" ht="15" hidden="false" customHeight="false" outlineLevel="0" collapsed="false">
      <c r="A5" s="16" t="s">
        <v>127</v>
      </c>
      <c r="B5" s="16" t="n">
        <v>102.75</v>
      </c>
      <c r="C5" s="16" t="n">
        <v>102.46</v>
      </c>
      <c r="D5" s="16" t="n">
        <v>106.38</v>
      </c>
      <c r="E5" s="16" t="n">
        <v>102.99</v>
      </c>
      <c r="F5" s="16" t="n">
        <f aca="false">AVERAGE(C5:E5)</f>
        <v>103.943333333333</v>
      </c>
      <c r="G5" s="16" t="n">
        <f aca="false">STDEV(C5:E5)</f>
        <v>2.12678944264197</v>
      </c>
      <c r="H5" s="29" t="n">
        <f aca="false">IF(F5=0,0,G5/F5*100)</f>
        <v>2.04610471344191</v>
      </c>
    </row>
    <row r="6" customFormat="false" ht="15" hidden="false" customHeight="false" outlineLevel="0" collapsed="false">
      <c r="A6" s="16" t="s">
        <v>128</v>
      </c>
      <c r="B6" s="16" t="n">
        <v>43.09</v>
      </c>
      <c r="C6" s="16" t="n">
        <v>44.15</v>
      </c>
      <c r="D6" s="16" t="n">
        <v>42.48</v>
      </c>
      <c r="E6" s="16" t="n">
        <v>42.59</v>
      </c>
      <c r="F6" s="16" t="n">
        <f aca="false">AVERAGE(C6:E6)</f>
        <v>43.0733333333333</v>
      </c>
      <c r="G6" s="16" t="n">
        <f aca="false">STDEV(C6:E6)</f>
        <v>0.934041398083261</v>
      </c>
      <c r="H6" s="29" t="n">
        <f aca="false">IF(F6=0,0,G6/F6*100)</f>
        <v>2.1684910959989</v>
      </c>
    </row>
    <row r="8" customFormat="false" ht="15" hidden="false" customHeight="false" outlineLevel="0" collapsed="false">
      <c r="A8" s="30" t="s">
        <v>129</v>
      </c>
    </row>
    <row r="9" customFormat="false" ht="15" hidden="false" customHeight="false" outlineLevel="0" collapsed="false">
      <c r="A9" s="31" t="s">
        <v>130</v>
      </c>
    </row>
    <row r="10" customFormat="false" ht="15" hidden="false" customHeight="false" outlineLevel="0" collapsed="false">
      <c r="A10" s="32" t="s">
        <v>131</v>
      </c>
    </row>
    <row r="11" customFormat="false" ht="15" hidden="false" customHeight="false" outlineLevel="0" collapsed="false">
      <c r="A11" s="31" t="s">
        <v>132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70"/>
  </cols>
  <sheetData>
    <row r="1" customFormat="false" ht="15" hidden="false" customHeight="false" outlineLevel="0" collapsed="false">
      <c r="A1" s="17" t="s">
        <v>133</v>
      </c>
      <c r="B1" s="17"/>
    </row>
    <row r="3" customFormat="false" ht="15" hidden="false" customHeight="false" outlineLevel="0" collapsed="false">
      <c r="A3" s="14" t="s">
        <v>134</v>
      </c>
      <c r="B3" s="33" t="s">
        <v>135</v>
      </c>
    </row>
    <row r="4" customFormat="false" ht="15" hidden="false" customHeight="false" outlineLevel="0" collapsed="false">
      <c r="A4" s="14" t="s">
        <v>136</v>
      </c>
      <c r="B4" s="33" t="s">
        <v>137</v>
      </c>
    </row>
    <row r="5" customFormat="false" ht="15" hidden="false" customHeight="false" outlineLevel="0" collapsed="false">
      <c r="A5" s="14" t="s">
        <v>138</v>
      </c>
      <c r="B5" s="33" t="s">
        <v>139</v>
      </c>
    </row>
    <row r="6" customFormat="false" ht="15" hidden="false" customHeight="false" outlineLevel="0" collapsed="false">
      <c r="A6" s="14" t="s">
        <v>140</v>
      </c>
      <c r="B6" s="33" t="s">
        <v>141</v>
      </c>
    </row>
    <row r="7" customFormat="false" ht="15" hidden="false" customHeight="false" outlineLevel="0" collapsed="false">
      <c r="A7" s="14" t="s">
        <v>142</v>
      </c>
      <c r="B7" s="33" t="s">
        <v>143</v>
      </c>
    </row>
    <row r="8" customFormat="false" ht="15" hidden="false" customHeight="false" outlineLevel="0" collapsed="false">
      <c r="A8" s="14" t="s">
        <v>144</v>
      </c>
      <c r="B8" s="33" t="s">
        <v>145</v>
      </c>
    </row>
    <row r="9" customFormat="false" ht="15" hidden="false" customHeight="false" outlineLevel="0" collapsed="false">
      <c r="A9" s="14" t="s">
        <v>146</v>
      </c>
      <c r="B9" s="33" t="s">
        <v>22</v>
      </c>
    </row>
    <row r="10" customFormat="false" ht="15" hidden="false" customHeight="false" outlineLevel="0" collapsed="false">
      <c r="A10" s="14" t="s">
        <v>147</v>
      </c>
      <c r="B10" s="33" t="s">
        <v>148</v>
      </c>
    </row>
    <row r="11" customFormat="false" ht="15" hidden="false" customHeight="false" outlineLevel="0" collapsed="false">
      <c r="A11" s="14" t="s">
        <v>149</v>
      </c>
      <c r="B11" s="33" t="s">
        <v>150</v>
      </c>
    </row>
    <row r="12" customFormat="false" ht="15" hidden="false" customHeight="false" outlineLevel="0" collapsed="false">
      <c r="A12" s="14" t="s">
        <v>151</v>
      </c>
      <c r="B12" s="33" t="s">
        <v>152</v>
      </c>
    </row>
    <row r="13" customFormat="false" ht="15" hidden="false" customHeight="false" outlineLevel="0" collapsed="false">
      <c r="A13" s="14" t="s">
        <v>153</v>
      </c>
      <c r="B13" s="33" t="s">
        <v>154</v>
      </c>
    </row>
    <row r="14" customFormat="false" ht="15" hidden="false" customHeight="false" outlineLevel="0" collapsed="false">
      <c r="A14" s="14" t="s">
        <v>155</v>
      </c>
      <c r="B14" s="33" t="s">
        <v>156</v>
      </c>
    </row>
    <row r="15" customFormat="false" ht="15" hidden="false" customHeight="false" outlineLevel="0" collapsed="false">
      <c r="A15" s="14" t="s">
        <v>157</v>
      </c>
      <c r="B15" s="33" t="s">
        <v>158</v>
      </c>
    </row>
    <row r="16" customFormat="false" ht="23.85" hidden="false" customHeight="false" outlineLevel="0" collapsed="false">
      <c r="A16" s="14" t="s">
        <v>159</v>
      </c>
      <c r="B16" s="33" t="s">
        <v>160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2026-07-10T11:39:53Z</dcterms:created>
  <dc:creator>openpyxl</dc:creator>
  <dc:description/>
  <dc:language>en-US</dc:language>
  <cp:lastModifiedBy/>
  <dcterms:modified xsi:type="dcterms:W3CDTF">2026-07-10T11:40:03Z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