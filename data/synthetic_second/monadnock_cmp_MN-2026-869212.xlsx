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atient Info" sheetId="2" state="visible" r:id="rId4"/>
    <sheet name="Chemistry Results" sheetId="3" state="visible" r:id="rId5"/>
    <sheet name="Reference Ranges" sheetId="4" state="visible" r:id="rId6"/>
    <sheet name="Historical Trend" sheetId="5" state="visible" r:id="rId7"/>
    <sheet name="Result Visualization" sheetId="6" state="visible" r:id="rId8"/>
    <sheet name="Quality Control" sheetId="7" state="visible" r:id="rId9"/>
    <sheet name="Methodology &amp; No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<sst xmlns="http://schemas.openxmlformats.org/spreadsheetml/2006/main" count="350" uniqueCount="197">
  <si>
    <t xml:space="preserve">LABORATORY REPORT</t>
  </si>
  <si>
    <t xml:space="preserve">CLIA #: 30D1088245</t>
  </si>
  <si>
    <t xml:space="preserve">Nashua, NH 03060</t>
  </si>
  <si>
    <t xml:space="preserve">  Comprehensive Metabolic Panel</t>
  </si>
  <si>
    <t xml:space="preserve">Patient Name</t>
  </si>
  <si>
    <t xml:space="preserve">MILLER, Steven</t>
  </si>
  <si>
    <t xml:space="preserve">Accession #</t>
  </si>
  <si>
    <t xml:space="preserve">MN-2026-869212</t>
  </si>
  <si>
    <t xml:space="preserve">MRN</t>
  </si>
  <si>
    <t xml:space="preserve">3688100</t>
  </si>
  <si>
    <t xml:space="preserve">Collected</t>
  </si>
  <si>
    <t xml:space="preserve">29-Dec-2025</t>
  </si>
  <si>
    <t xml:space="preserve">DOB</t>
  </si>
  <si>
    <t xml:space="preserve">10-Mar-1963</t>
  </si>
  <si>
    <t xml:space="preserve">Received</t>
  </si>
  <si>
    <t xml:space="preserve">Age / Sex</t>
  </si>
  <si>
    <t xml:space="preserve">63 / M</t>
  </si>
  <si>
    <t xml:space="preserve">Reported</t>
  </si>
  <si>
    <t xml:space="preserve">01-Jan-2026</t>
  </si>
  <si>
    <t xml:space="preserve">Ordering Provider</t>
  </si>
  <si>
    <t xml:space="preserve">Michael A. Foster, MD</t>
  </si>
  <si>
    <t xml:space="preserve">Specimen</t>
  </si>
  <si>
    <t xml:space="preserve">Serum (SST, Gold Top)</t>
  </si>
  <si>
    <t xml:space="preserve">  Abnormal Findings Summary (12)</t>
  </si>
  <si>
    <t xml:space="preserve">Analyte</t>
  </si>
  <si>
    <t xml:space="preserve">Result</t>
  </si>
  <si>
    <t xml:space="preserve">Flag</t>
  </si>
  <si>
    <t xml:space="preserve">Reference</t>
  </si>
  <si>
    <t xml:space="preserve">Glucose, Fasting</t>
  </si>
  <si>
    <t xml:space="preserve">114 mg/dL</t>
  </si>
  <si>
    <t xml:space="preserve">Critical High</t>
  </si>
  <si>
    <t xml:space="preserve">70 - 99</t>
  </si>
  <si>
    <t xml:space="preserve">BUN</t>
  </si>
  <si>
    <t xml:space="preserve">24 mg/dL</t>
  </si>
  <si>
    <t xml:space="preserve">High</t>
  </si>
  <si>
    <t xml:space="preserve">7 - 20</t>
  </si>
  <si>
    <t xml:space="preserve">Creatinine</t>
  </si>
  <si>
    <t xml:space="preserve">1.6 mg/dL</t>
  </si>
  <si>
    <t xml:space="preserve">0.70 - 1.30</t>
  </si>
  <si>
    <t xml:space="preserve">eGFR (CKD-EPI)</t>
  </si>
  <si>
    <t xml:space="preserve">47 mL/min/1.73</t>
  </si>
  <si>
    <t xml:space="preserve">Low</t>
  </si>
  <si>
    <t xml:space="preserve">60 - 120</t>
  </si>
  <si>
    <t xml:space="preserve">BUN/Creatinine Ratio</t>
  </si>
  <si>
    <t xml:space="preserve">24 ratio</t>
  </si>
  <si>
    <t xml:space="preserve">10 - 20</t>
  </si>
  <si>
    <t xml:space="preserve">Chloride</t>
  </si>
  <si>
    <t xml:space="preserve">96 mmol/L</t>
  </si>
  <si>
    <t xml:space="preserve">98 - 107</t>
  </si>
  <si>
    <t xml:space="preserve">CO2 (Bicarbonate)</t>
  </si>
  <si>
    <t xml:space="preserve">19 mmol/L</t>
  </si>
  <si>
    <t xml:space="preserve">22 - 29</t>
  </si>
  <si>
    <t xml:space="preserve">Anion Gap</t>
  </si>
  <si>
    <t xml:space="preserve">6 mmol/L</t>
  </si>
  <si>
    <t xml:space="preserve">7 - 16</t>
  </si>
  <si>
    <t xml:space="preserve">Calcium</t>
  </si>
  <si>
    <t xml:space="preserve">10.3 mg/dL</t>
  </si>
  <si>
    <t xml:space="preserve">8.6 - 10.2</t>
  </si>
  <si>
    <t xml:space="preserve">Albumin</t>
  </si>
  <si>
    <t xml:space="preserve">3.3 g/dL</t>
  </si>
  <si>
    <t xml:space="preserve">3.5 - 5.0</t>
  </si>
  <si>
    <t xml:space="preserve">Alkaline Phosphatase</t>
  </si>
  <si>
    <t xml:space="preserve">0 U/L</t>
  </si>
  <si>
    <t xml:space="preserve">40 - 129</t>
  </si>
  <si>
    <t xml:space="preserve">AST (SGOT)</t>
  </si>
  <si>
    <t xml:space="preserve">53 U/L</t>
  </si>
  <si>
    <t xml:space="preserve">10 - 40</t>
  </si>
  <si>
    <t xml:space="preserve">This report is electronically verified. Results apply only to the specimen received. See Methodology sheet for assay details and limitations.</t>
  </si>
  <si>
    <t xml:space="preserve">Laboratory Director: Grace T. Lim, MD, FCAP</t>
  </si>
  <si>
    <t xml:space="preserve">  Patient Demographics</t>
  </si>
  <si>
    <t xml:space="preserve">  Specimen &amp; Order</t>
  </si>
  <si>
    <t xml:space="preserve">Name</t>
  </si>
  <si>
    <t xml:space="preserve">Medical Record #</t>
  </si>
  <si>
    <t xml:space="preserve">Date of Birth</t>
  </si>
  <si>
    <t xml:space="preserve">Provider NPI</t>
  </si>
  <si>
    <t xml:space="preserve">1752612831</t>
  </si>
  <si>
    <t xml:space="preserve">Age</t>
  </si>
  <si>
    <t xml:space="preserve">63</t>
  </si>
  <si>
    <t xml:space="preserve">Specimen Type</t>
  </si>
  <si>
    <t xml:space="preserve">Sex</t>
  </si>
  <si>
    <t xml:space="preserve">M</t>
  </si>
  <si>
    <t xml:space="preserve">Address</t>
  </si>
  <si>
    <t xml:space="preserve">6673 Birch St</t>
  </si>
  <si>
    <t xml:space="preserve">City/State/ZIP</t>
  </si>
  <si>
    <t xml:space="preserve">Phoenix, AZ 85057</t>
  </si>
  <si>
    <t xml:space="preserve">Phone</t>
  </si>
  <si>
    <t xml:space="preserve">(777) 864-7568</t>
  </si>
  <si>
    <t xml:space="preserve">Priority</t>
  </si>
  <si>
    <t xml:space="preserve">Routine</t>
  </si>
  <si>
    <t xml:space="preserve">Fasting Status</t>
  </si>
  <si>
    <t xml:space="preserve">Yes</t>
  </si>
  <si>
    <t xml:space="preserve">  Comprehensive Metabolic Panel — Quantitative Results</t>
  </si>
  <si>
    <t xml:space="preserve">LOINC</t>
  </si>
  <si>
    <t xml:space="preserve">Test / Analyte</t>
  </si>
  <si>
    <t xml:space="preserve">Units</t>
  </si>
  <si>
    <t xml:space="preserve">Ref Low</t>
  </si>
  <si>
    <t xml:space="preserve">Ref High</t>
  </si>
  <si>
    <t xml:space="preserve">1558-6</t>
  </si>
  <si>
    <t xml:space="preserve">mg/dL</t>
  </si>
  <si>
    <t xml:space="preserve">3094-0</t>
  </si>
  <si>
    <t xml:space="preserve">2160-0</t>
  </si>
  <si>
    <t xml:space="preserve">98979-8</t>
  </si>
  <si>
    <t xml:space="preserve">mL/min/1.73</t>
  </si>
  <si>
    <t xml:space="preserve">3097-3</t>
  </si>
  <si>
    <t xml:space="preserve">ratio</t>
  </si>
  <si>
    <t xml:space="preserve">2951-2</t>
  </si>
  <si>
    <t xml:space="preserve">Sodium</t>
  </si>
  <si>
    <t xml:space="preserve">mmol/L</t>
  </si>
  <si>
    <t xml:space="preserve">Normal</t>
  </si>
  <si>
    <t xml:space="preserve">2823-3</t>
  </si>
  <si>
    <t xml:space="preserve">Potassium</t>
  </si>
  <si>
    <t xml:space="preserve">2075-0</t>
  </si>
  <si>
    <t xml:space="preserve">2028-9</t>
  </si>
  <si>
    <t xml:space="preserve">33037-3</t>
  </si>
  <si>
    <t xml:space="preserve">17861-6</t>
  </si>
  <si>
    <t xml:space="preserve">2885-2</t>
  </si>
  <si>
    <t xml:space="preserve">Total Protein</t>
  </si>
  <si>
    <t xml:space="preserve">g/dL</t>
  </si>
  <si>
    <t xml:space="preserve">1751-7</t>
  </si>
  <si>
    <t xml:space="preserve">10834-0</t>
  </si>
  <si>
    <t xml:space="preserve">Globulin</t>
  </si>
  <si>
    <t xml:space="preserve">1759-0</t>
  </si>
  <si>
    <t xml:space="preserve">A/G Ratio</t>
  </si>
  <si>
    <t xml:space="preserve">1975-2</t>
  </si>
  <si>
    <t xml:space="preserve">Total Bilirubin</t>
  </si>
  <si>
    <t xml:space="preserve">6768-6</t>
  </si>
  <si>
    <t xml:space="preserve">U/L</t>
  </si>
  <si>
    <t xml:space="preserve">1920-8</t>
  </si>
  <si>
    <t xml:space="preserve">1742-6</t>
  </si>
  <si>
    <t xml:space="preserve">ALT (SGPT)</t>
  </si>
  <si>
    <t xml:space="preserve">  Reference Intervals &amp; Methodology</t>
  </si>
  <si>
    <t xml:space="preserve">Method</t>
  </si>
  <si>
    <t xml:space="preserve">Hexokinase</t>
  </si>
  <si>
    <t xml:space="preserve">Urease/UV</t>
  </si>
  <si>
    <t xml:space="preserve">Enzymatic (IDMS)</t>
  </si>
  <si>
    <t xml:space="preserve">Calculated</t>
  </si>
  <si>
    <t xml:space="preserve">ISE</t>
  </si>
  <si>
    <t xml:space="preserve">Enzymatic</t>
  </si>
  <si>
    <t xml:space="preserve">Arsenazo III</t>
  </si>
  <si>
    <t xml:space="preserve">Biuret</t>
  </si>
  <si>
    <t xml:space="preserve">BCG</t>
  </si>
  <si>
    <t xml:space="preserve">Diazo</t>
  </si>
  <si>
    <t xml:space="preserve">IFCC / p-NPP</t>
  </si>
  <si>
    <t xml:space="preserve">IFCC (no P-5-P)</t>
  </si>
  <si>
    <t xml:space="preserve">  Historical Trend — Creatinine</t>
  </si>
  <si>
    <t xml:space="preserve">Date</t>
  </si>
  <si>
    <t xml:space="preserve">2024-10-08</t>
  </si>
  <si>
    <t xml:space="preserve">2025-01-06</t>
  </si>
  <si>
    <t xml:space="preserve">2025-04-06</t>
  </si>
  <si>
    <t xml:space="preserve">2025-07-05</t>
  </si>
  <si>
    <t xml:space="preserve">2025-10-03</t>
  </si>
  <si>
    <t xml:space="preserve">2026-01-01</t>
  </si>
  <si>
    <t xml:space="preserve">  Result Visualization</t>
  </si>
  <si>
    <t xml:space="preserve">  Daily QC Summary (Levey-Jennings)</t>
  </si>
  <si>
    <t xml:space="preserve">Control Material</t>
  </si>
  <si>
    <t xml:space="preserve">Target Mean</t>
  </si>
  <si>
    <t xml:space="preserve">Run 1</t>
  </si>
  <si>
    <t xml:space="preserve">Run 2</t>
  </si>
  <si>
    <t xml:space="preserve">Run 3</t>
  </si>
  <si>
    <t xml:space="preserve">Obs. Mean</t>
  </si>
  <si>
    <t xml:space="preserve">Obs. SD</t>
  </si>
  <si>
    <t xml:space="preserve">%CV</t>
  </si>
  <si>
    <t xml:space="preserve">QC Level 1 (Normal)</t>
  </si>
  <si>
    <t xml:space="preserve">QC Level 2 (Abnormal Low)</t>
  </si>
  <si>
    <t xml:space="preserve">QC Level 3 (Abnormal High)</t>
  </si>
  <si>
    <t xml:space="preserve">Westgard Rules Evaluation:</t>
  </si>
  <si>
    <t xml:space="preserve">1-2s: Warning only  |  1-3s, 2-2s, R-4s: Reject</t>
  </si>
  <si>
    <t xml:space="preserve">Run Status: ACCEPTED</t>
  </si>
  <si>
    <t xml:space="preserve">Reviewed by: Grace T. Lim, MD, FCAP</t>
  </si>
  <si>
    <t xml:space="preserve">  Methodology, Instrumentation &amp; Disclaimers</t>
  </si>
  <si>
    <t xml:space="preserve">Testing Laboratory</t>
  </si>
  <si>
    <t xml:space="preserve">Monadnock Reference Labs, Nashua, NH 03060</t>
  </si>
  <si>
    <t xml:space="preserve">CLIA Certificate</t>
  </si>
  <si>
    <t xml:space="preserve">30D1088245</t>
  </si>
  <si>
    <t xml:space="preserve">Laboratory Director</t>
  </si>
  <si>
    <t xml:space="preserve">Grace T. Lim, MD, FCAP</t>
  </si>
  <si>
    <t xml:space="preserve">Primary Instrument</t>
  </si>
  <si>
    <t xml:space="preserve">Roche cobas c702 Clinical Chemistry</t>
  </si>
  <si>
    <t xml:space="preserve">Accreditation</t>
  </si>
  <si>
    <t xml:space="preserve">CAP / CLIA '88 accredited</t>
  </si>
  <si>
    <t xml:space="preserve">Panel</t>
  </si>
  <si>
    <t xml:space="preserve">Comprehensive Metabolic Panel</t>
  </si>
  <si>
    <t xml:space="preserve">Specimen Requirements</t>
  </si>
  <si>
    <t xml:space="preserve">Reference Population</t>
  </si>
  <si>
    <t xml:space="preserve">Adults 18-65, unless otherwise noted</t>
  </si>
  <si>
    <t xml:space="preserve">Method Traceability</t>
  </si>
  <si>
    <t xml:space="preserve">Standardized to CDC/NIST reference materials where applicable</t>
  </si>
  <si>
    <t xml:space="preserve">Interference Notes</t>
  </si>
  <si>
    <t xml:space="preserve">Hemolysis, lipemia and icterus may affect select analytes.</t>
  </si>
  <si>
    <t xml:space="preserve">Result Limitations</t>
  </si>
  <si>
    <t xml:space="preserve">Results should be interpreted in the clinical context by the ordering provider.</t>
  </si>
  <si>
    <t xml:space="preserve">Turnaround Time</t>
  </si>
  <si>
    <t xml:space="preserve">Routine: 24-48 hours from receipt</t>
  </si>
  <si>
    <t xml:space="preserve">Electronic Signature</t>
  </si>
  <si>
    <t xml:space="preserve">Verified — Grace T. Lim, MD, FCAP</t>
  </si>
  <si>
    <t xml:space="preserve">Disclaimer</t>
  </si>
  <si>
    <t xml:space="preserve">This test was developed and its performance characteristics determined by the performing laboratory. Not evaluated by the FDA where LDT applies.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</si>
</sst>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4273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4273F"/>
      <name val="Arial"/>
      <family val="0"/>
      <charset val="1"/>
    </font>
    <font>
      <b val="true"/>
      <sz val="11"/>
      <color rgb="FF2E7D3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14273F"/>
      </patternFill>
    </fill>
    <fill>
      <patternFill patternType="solid">
        <fgColor rgb="FF14273F"/>
        <bgColor rgb="FF1F3A5F"/>
      </patternFill>
    </fill>
    <fill>
      <patternFill patternType="solid">
        <fgColor rgb="FFF8CBAD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D9D9D9"/>
      <rgbColor rgb="FF878787"/>
      <rgbColor rgb="FF9999FF"/>
      <rgbColor rgb="FFBE4B48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4A7EBB"/>
      <rgbColor rgb="FF33CCCC"/>
      <rgbColor rgb="FF98B855"/>
      <rgbColor rgb="FFFFCC00"/>
      <rgbColor rgb="FFFF9900"/>
      <rgbColor rgb="FFFF6600"/>
      <rgbColor rgb="FF666666"/>
      <rgbColor rgb="FF888888"/>
      <rgbColor rgb="FF1F3A5F"/>
      <rgbColor rgb="FF2E7D32"/>
      <rgbColor rgb="FF003300"/>
      <rgbColor rgb="FF333300"/>
      <rgbColor rgb="FF993300"/>
      <rgbColor rgb="FFC0504D"/>
      <rgbColor rgb="FF333399"/>
      <rgbColor rgb="FF1427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Creatinine (mg/dL) — last 6 results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'Historical Trend'!B3</c:f>
              <c:strCache>
                <c:ptCount val="1"/>
                <c:pt idx="0">
                  <c:v>Result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2024-10-08</c:v>
                </c:pt>
                <c:pt idx="1">
                  <c:v>2025-01-06</c:v>
                </c:pt>
                <c:pt idx="2">
                  <c:v>2025-04-06</c:v>
                </c:pt>
                <c:pt idx="3">
                  <c:v>2025-07-05</c:v>
                </c:pt>
                <c:pt idx="4">
                  <c:v>2025-10-03</c:v>
                </c:pt>
                <c:pt idx="5">
                  <c:v>2026-01-01</c:v>
                </c:pt>
              </c:strCache>
            </c:strRef>
          </c:cat>
          <c:val>
            <c:numRef>
              <c:f>'Historical Trend'!$B$4:$B$9</c:f>
              <c:numCache>
                <c:formatCode>General</c:formatCode>
                <c:ptCount val="6"/>
                <c:pt idx="0">
                  <c:v>1.64</c:v>
                </c:pt>
                <c:pt idx="1">
                  <c:v>1.52</c:v>
                </c:pt>
                <c:pt idx="2">
                  <c:v>1.57</c:v>
                </c:pt>
                <c:pt idx="3">
                  <c:v>1.6</c:v>
                </c:pt>
                <c:pt idx="4">
                  <c:v>1.61</c:v>
                </c:pt>
                <c:pt idx="5">
                  <c:v>1.6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'Historical Trend'!C3</c:f>
              <c:strCache>
                <c:ptCount val="1"/>
                <c:pt idx="0">
                  <c:v>Ref Low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2024-10-08</c:v>
                </c:pt>
                <c:pt idx="1">
                  <c:v>2025-01-06</c:v>
                </c:pt>
                <c:pt idx="2">
                  <c:v>2025-04-06</c:v>
                </c:pt>
                <c:pt idx="3">
                  <c:v>2025-07-05</c:v>
                </c:pt>
                <c:pt idx="4">
                  <c:v>2025-10-03</c:v>
                </c:pt>
                <c:pt idx="5">
                  <c:v>2026-01-01</c:v>
                </c:pt>
              </c:strCache>
            </c:strRef>
          </c:cat>
          <c:val>
            <c:numRef>
              <c:f>'Historical Trend'!$C$4:$C$9</c:f>
              <c:numCache>
                <c:formatCode>General</c:formatCode>
                <c:ptCount val="6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'Historical Trend'!D3</c:f>
              <c:strCache>
                <c:ptCount val="1"/>
                <c:pt idx="0">
                  <c:v>Ref High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2024-10-08</c:v>
                </c:pt>
                <c:pt idx="1">
                  <c:v>2025-01-06</c:v>
                </c:pt>
                <c:pt idx="2">
                  <c:v>2025-04-06</c:v>
                </c:pt>
                <c:pt idx="3">
                  <c:v>2025-07-05</c:v>
                </c:pt>
                <c:pt idx="4">
                  <c:v>2025-10-03</c:v>
                </c:pt>
                <c:pt idx="5">
                  <c:v>2026-01-01</c:v>
                </c:pt>
              </c:strCache>
            </c:strRef>
          </c:cat>
          <c:val>
            <c:numRef>
              <c:f>'Historical Trend'!$D$4:$D$9</c:f>
              <c:numCache>
                <c:formatCode>General</c:formatCode>
                <c:ptCount val="6"/>
                <c:pt idx="0">
                  <c:v>1.3</c:v>
                </c:pt>
                <c:pt idx="1">
                  <c:v>1.3</c:v>
                </c:pt>
                <c:pt idx="2">
                  <c:v>1.3</c:v>
                </c:pt>
                <c:pt idx="3">
                  <c:v>1.3</c:v>
                </c:pt>
                <c:pt idx="4">
                  <c:v>1.3</c:v>
                </c:pt>
                <c:pt idx="5">
                  <c:v>1.3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069845"/>
        <c:axId val="45136422"/>
      </c:lineChart>
      <c:catAx>
        <c:axId val="520698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Collection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136422"/>
        <c:crosses val="autoZero"/>
        <c:auto val="1"/>
        <c:lblAlgn val="ctr"/>
        <c:lblOffset val="100"/>
        <c:noMultiLvlLbl val="0"/>
      </c:catAx>
      <c:valAx>
        <c:axId val="451364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mg/dL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698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Result vs Upper Reference Limit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'Result Visualization'!B22</c:f>
              <c:strCache>
                <c:ptCount val="1"/>
                <c:pt idx="0">
                  <c:v>Result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'Result Visualization'!$A$23:$A$30</c:f>
              <c:strCache>
                <c:ptCount val="8"/>
                <c:pt idx="0">
                  <c:v>Glucose, Fasting</c:v>
                </c:pt>
                <c:pt idx="1">
                  <c:v>BUN</c:v>
                </c:pt>
                <c:pt idx="2">
                  <c:v>Creatinine</c:v>
                </c:pt>
                <c:pt idx="3">
                  <c:v>eGFR (CKD-EPI)</c:v>
                </c:pt>
                <c:pt idx="4">
                  <c:v>BUN/Creatinine Ratio</c:v>
                </c:pt>
                <c:pt idx="5">
                  <c:v>Sodium</c:v>
                </c:pt>
                <c:pt idx="6">
                  <c:v>Potassium</c:v>
                </c:pt>
                <c:pt idx="7">
                  <c:v>Chloride</c:v>
                </c:pt>
              </c:strCache>
            </c:strRef>
          </c:cat>
          <c:val>
            <c:numRef>
              <c:f>'Result Visualization'!$B$23:$B$30</c:f>
              <c:numCache>
                <c:formatCode>General</c:formatCode>
                <c:ptCount val="8"/>
                <c:pt idx="0">
                  <c:v>114</c:v>
                </c:pt>
                <c:pt idx="1">
                  <c:v>24</c:v>
                </c:pt>
                <c:pt idx="2">
                  <c:v>1.6</c:v>
                </c:pt>
                <c:pt idx="3">
                  <c:v>47</c:v>
                </c:pt>
                <c:pt idx="4">
                  <c:v>24</c:v>
                </c:pt>
                <c:pt idx="5">
                  <c:v>141</c:v>
                </c:pt>
                <c:pt idx="6">
                  <c:v>4</c:v>
                </c:pt>
                <c:pt idx="7">
                  <c:v>96</c:v>
                </c:pt>
              </c:numCache>
            </c:numRef>
          </c:val>
        </c:ser>
        <c:ser>
          <c:idx val="1"/>
          <c:order val="1"/>
          <c:tx>
            <c:strRef>
              <c:f>'Result Visualization'!C22</c:f>
              <c:strCache>
                <c:ptCount val="1"/>
                <c:pt idx="0">
                  <c:v>Ref High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'Result Visualization'!$A$23:$A$30</c:f>
              <c:strCache>
                <c:ptCount val="8"/>
                <c:pt idx="0">
                  <c:v>Glucose, Fasting</c:v>
                </c:pt>
                <c:pt idx="1">
                  <c:v>BUN</c:v>
                </c:pt>
                <c:pt idx="2">
                  <c:v>Creatinine</c:v>
                </c:pt>
                <c:pt idx="3">
                  <c:v>eGFR (CKD-EPI)</c:v>
                </c:pt>
                <c:pt idx="4">
                  <c:v>BUN/Creatinine Ratio</c:v>
                </c:pt>
                <c:pt idx="5">
                  <c:v>Sodium</c:v>
                </c:pt>
                <c:pt idx="6">
                  <c:v>Potassium</c:v>
                </c:pt>
                <c:pt idx="7">
                  <c:v>Chloride</c:v>
                </c:pt>
              </c:strCache>
            </c:strRef>
          </c:cat>
          <c:val>
            <c:numRef>
              <c:f>'Result Visualization'!$C$23:$C$30</c:f>
              <c:numCache>
                <c:formatCode>General</c:formatCode>
                <c:ptCount val="8"/>
                <c:pt idx="0">
                  <c:v>99</c:v>
                </c:pt>
                <c:pt idx="1">
                  <c:v>20</c:v>
                </c:pt>
                <c:pt idx="2">
                  <c:v>1.3</c:v>
                </c:pt>
                <c:pt idx="3">
                  <c:v>120</c:v>
                </c:pt>
                <c:pt idx="4">
                  <c:v>20</c:v>
                </c:pt>
                <c:pt idx="5">
                  <c:v>145</c:v>
                </c:pt>
                <c:pt idx="6">
                  <c:v>5.1</c:v>
                </c:pt>
                <c:pt idx="7">
                  <c:v>107</c:v>
                </c:pt>
              </c:numCache>
            </c:numRef>
          </c:val>
        </c:ser>
        <c:gapWidth val="150"/>
        <c:overlap val="0"/>
        <c:axId val="67950790"/>
        <c:axId val="33723558"/>
      </c:barChart>
      <c:catAx>
        <c:axId val="679507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23558"/>
        <c:crosses val="autoZero"/>
        <c:auto val="1"/>
        <c:lblAlgn val="ctr"/>
        <c:lblOffset val="100"/>
        <c:noMultiLvlLbl val="0"/>
      </c:catAx>
      <c:valAx>
        <c:axId val="337235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9507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750240</xdr:colOff>
      <xdr:row>2</xdr:row>
      <xdr:rowOff>228240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3428640" cy="990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15</xdr:col>
      <xdr:colOff>364680</xdr:colOff>
      <xdr:row>19</xdr:row>
      <xdr:rowOff>1080</xdr:rowOff>
    </xdr:to>
    <xdr:graphicFrame>
      <xdr:nvGraphicFramePr>
        <xdr:cNvPr id="1" name="Chart 1"/>
        <xdr:cNvGraphicFramePr/>
      </xdr:nvGraphicFramePr>
      <xdr:xfrm>
        <a:off x="469980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21</xdr:row>
      <xdr:rowOff>0</xdr:rowOff>
    </xdr:from>
    <xdr:to>
      <xdr:col>12</xdr:col>
      <xdr:colOff>195840</xdr:colOff>
      <xdr:row>31</xdr:row>
      <xdr:rowOff>190440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4699800" y="4000680"/>
          <a:ext cx="4476240" cy="2095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21</xdr:row>
      <xdr:rowOff>0</xdr:rowOff>
    </xdr:from>
    <xdr:to>
      <xdr:col>14</xdr:col>
      <xdr:colOff>364320</xdr:colOff>
      <xdr:row>38</xdr:row>
      <xdr:rowOff>1440</xdr:rowOff>
    </xdr:to>
    <xdr:graphicFrame>
      <xdr:nvGraphicFramePr>
        <xdr:cNvPr id="3" name="Chart 1"/>
        <xdr:cNvGraphicFramePr/>
      </xdr:nvGraphicFramePr>
      <xdr:xfrm>
        <a:off x="3666960" y="4000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</xdr:row>
      <xdr:rowOff>0</xdr:rowOff>
    </xdr:from>
    <xdr:to>
      <xdr:col>5</xdr:col>
      <xdr:colOff>483480</xdr:colOff>
      <xdr:row>13</xdr:row>
      <xdr:rowOff>190080</xdr:rowOff>
    </xdr:to>
    <xdr:pic>
      <xdr:nvPicPr>
        <xdr:cNvPr id="4" name="Image 2" descr="Picture"/>
        <xdr:cNvPicPr/>
      </xdr:nvPicPr>
      <xdr:blipFill>
        <a:blip r:embed="rId2"/>
        <a:stretch/>
      </xdr:blipFill>
      <xdr:spPr>
        <a:xfrm>
          <a:off x="0" y="380880"/>
          <a:ext cx="4762080" cy="2285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14"/>
  </cols>
  <sheetData>
    <row r="1" customFormat="false" ht="30" hidden="false" customHeight="true" outlineLevel="0" collapsed="false">
      <c r="F1" s="1" t="s">
        <v>0</v>
      </c>
    </row>
    <row r="2" customFormat="false" ht="30" hidden="false" customHeight="true" outlineLevel="0" collapsed="false">
      <c r="F2" s="2" t="s">
        <v>1</v>
      </c>
    </row>
    <row r="3" customFormat="false" ht="30" hidden="false" customHeight="true" outlineLevel="0" collapsed="false">
      <c r="F3" s="2" t="s">
        <v>2</v>
      </c>
    </row>
    <row r="6" customFormat="false" ht="21.75" hidden="false" customHeight="true" outlineLevel="0" collapsed="false">
      <c r="A6" s="3" t="s">
        <v>3</v>
      </c>
      <c r="B6" s="3"/>
      <c r="C6" s="3"/>
      <c r="D6" s="3"/>
      <c r="E6" s="3"/>
      <c r="F6" s="3"/>
      <c r="G6" s="3"/>
      <c r="H6" s="3"/>
    </row>
    <row r="8" customFormat="false" ht="15" hidden="false" customHeight="false" outlineLevel="0" collapsed="false">
      <c r="A8" s="4" t="s">
        <v>4</v>
      </c>
      <c r="B8" s="5" t="s">
        <v>5</v>
      </c>
      <c r="E8" s="4" t="s">
        <v>6</v>
      </c>
      <c r="F8" s="5" t="s">
        <v>7</v>
      </c>
    </row>
    <row r="9" customFormat="false" ht="15" hidden="false" customHeight="false" outlineLevel="0" collapsed="false">
      <c r="A9" s="4" t="s">
        <v>8</v>
      </c>
      <c r="B9" s="5" t="s">
        <v>9</v>
      </c>
      <c r="E9" s="4" t="s">
        <v>10</v>
      </c>
      <c r="F9" s="5" t="s">
        <v>11</v>
      </c>
    </row>
    <row r="10" customFormat="false" ht="15" hidden="false" customHeight="false" outlineLevel="0" collapsed="false">
      <c r="A10" s="4" t="s">
        <v>12</v>
      </c>
      <c r="B10" s="5" t="s">
        <v>13</v>
      </c>
      <c r="E10" s="4" t="s">
        <v>14</v>
      </c>
      <c r="F10" s="5" t="s">
        <v>11</v>
      </c>
    </row>
    <row r="11" customFormat="false" ht="15" hidden="false" customHeight="false" outlineLevel="0" collapsed="false">
      <c r="A11" s="4" t="s">
        <v>15</v>
      </c>
      <c r="B11" s="5" t="s">
        <v>16</v>
      </c>
      <c r="E11" s="4" t="s">
        <v>17</v>
      </c>
      <c r="F11" s="5" t="s">
        <v>18</v>
      </c>
    </row>
    <row r="12" customFormat="false" ht="15" hidden="false" customHeight="false" outlineLevel="0" collapsed="false">
      <c r="A12" s="4" t="s">
        <v>19</v>
      </c>
      <c r="B12" s="5" t="s">
        <v>20</v>
      </c>
      <c r="E12" s="4" t="s">
        <v>21</v>
      </c>
      <c r="F12" s="5" t="s">
        <v>22</v>
      </c>
    </row>
    <row r="14" customFormat="false" ht="15" hidden="false" customHeight="false" outlineLevel="0" collapsed="false">
      <c r="A14" s="6" t="s">
        <v>23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7" t="s">
        <v>24</v>
      </c>
      <c r="B15" s="8"/>
      <c r="C15" s="8"/>
      <c r="D15" s="7" t="s">
        <v>25</v>
      </c>
      <c r="E15" s="8"/>
      <c r="F15" s="7" t="s">
        <v>26</v>
      </c>
      <c r="G15" s="7" t="s">
        <v>27</v>
      </c>
      <c r="H15" s="8"/>
    </row>
    <row r="16" customFormat="false" ht="15" hidden="false" customHeight="false" outlineLevel="0" collapsed="false">
      <c r="A16" s="9" t="s">
        <v>28</v>
      </c>
      <c r="B16" s="9"/>
      <c r="C16" s="9"/>
      <c r="D16" s="9" t="s">
        <v>29</v>
      </c>
      <c r="E16" s="9"/>
      <c r="F16" s="9" t="s">
        <v>30</v>
      </c>
      <c r="G16" s="9" t="s">
        <v>31</v>
      </c>
      <c r="H16" s="9"/>
    </row>
    <row r="17" customFormat="false" ht="15" hidden="false" customHeight="false" outlineLevel="0" collapsed="false">
      <c r="A17" s="10" t="s">
        <v>32</v>
      </c>
      <c r="B17" s="10"/>
      <c r="C17" s="10"/>
      <c r="D17" s="10" t="s">
        <v>33</v>
      </c>
      <c r="E17" s="10"/>
      <c r="F17" s="10" t="s">
        <v>34</v>
      </c>
      <c r="G17" s="10" t="s">
        <v>35</v>
      </c>
      <c r="H17" s="10"/>
    </row>
    <row r="18" customFormat="false" ht="15" hidden="false" customHeight="false" outlineLevel="0" collapsed="false">
      <c r="A18" s="10" t="s">
        <v>36</v>
      </c>
      <c r="B18" s="10"/>
      <c r="C18" s="10"/>
      <c r="D18" s="10" t="s">
        <v>37</v>
      </c>
      <c r="E18" s="10"/>
      <c r="F18" s="10" t="s">
        <v>34</v>
      </c>
      <c r="G18" s="10" t="s">
        <v>38</v>
      </c>
      <c r="H18" s="10"/>
    </row>
    <row r="19" customFormat="false" ht="15" hidden="false" customHeight="false" outlineLevel="0" collapsed="false">
      <c r="A19" s="10" t="s">
        <v>39</v>
      </c>
      <c r="B19" s="10"/>
      <c r="C19" s="10"/>
      <c r="D19" s="10" t="s">
        <v>40</v>
      </c>
      <c r="E19" s="10"/>
      <c r="F19" s="10" t="s">
        <v>41</v>
      </c>
      <c r="G19" s="10" t="s">
        <v>42</v>
      </c>
      <c r="H19" s="10"/>
    </row>
    <row r="20" customFormat="false" ht="15" hidden="false" customHeight="false" outlineLevel="0" collapsed="false">
      <c r="A20" s="10" t="s">
        <v>43</v>
      </c>
      <c r="B20" s="10"/>
      <c r="C20" s="10"/>
      <c r="D20" s="10" t="s">
        <v>44</v>
      </c>
      <c r="E20" s="10"/>
      <c r="F20" s="10" t="s">
        <v>34</v>
      </c>
      <c r="G20" s="10" t="s">
        <v>45</v>
      </c>
      <c r="H20" s="10"/>
    </row>
    <row r="21" customFormat="false" ht="15" hidden="false" customHeight="false" outlineLevel="0" collapsed="false">
      <c r="A21" s="10" t="s">
        <v>46</v>
      </c>
      <c r="B21" s="10"/>
      <c r="C21" s="10"/>
      <c r="D21" s="10" t="s">
        <v>47</v>
      </c>
      <c r="E21" s="10"/>
      <c r="F21" s="10" t="s">
        <v>41</v>
      </c>
      <c r="G21" s="10" t="s">
        <v>48</v>
      </c>
      <c r="H21" s="10"/>
    </row>
    <row r="22" customFormat="false" ht="15" hidden="false" customHeight="false" outlineLevel="0" collapsed="false">
      <c r="A22" s="10" t="s">
        <v>49</v>
      </c>
      <c r="B22" s="10"/>
      <c r="C22" s="10"/>
      <c r="D22" s="10" t="s">
        <v>50</v>
      </c>
      <c r="E22" s="10"/>
      <c r="F22" s="10" t="s">
        <v>41</v>
      </c>
      <c r="G22" s="10" t="s">
        <v>51</v>
      </c>
      <c r="H22" s="10"/>
    </row>
    <row r="23" customFormat="false" ht="15" hidden="false" customHeight="false" outlineLevel="0" collapsed="false">
      <c r="A23" s="10" t="s">
        <v>52</v>
      </c>
      <c r="B23" s="10"/>
      <c r="C23" s="10"/>
      <c r="D23" s="10" t="s">
        <v>53</v>
      </c>
      <c r="E23" s="10"/>
      <c r="F23" s="10" t="s">
        <v>41</v>
      </c>
      <c r="G23" s="10" t="s">
        <v>54</v>
      </c>
      <c r="H23" s="10"/>
    </row>
    <row r="24" customFormat="false" ht="15" hidden="false" customHeight="false" outlineLevel="0" collapsed="false">
      <c r="A24" s="10" t="s">
        <v>55</v>
      </c>
      <c r="B24" s="10"/>
      <c r="C24" s="10"/>
      <c r="D24" s="10" t="s">
        <v>56</v>
      </c>
      <c r="E24" s="10"/>
      <c r="F24" s="10" t="s">
        <v>34</v>
      </c>
      <c r="G24" s="10" t="s">
        <v>57</v>
      </c>
      <c r="H24" s="10"/>
    </row>
    <row r="25" customFormat="false" ht="15" hidden="false" customHeight="false" outlineLevel="0" collapsed="false">
      <c r="A25" s="10" t="s">
        <v>58</v>
      </c>
      <c r="B25" s="10"/>
      <c r="C25" s="10"/>
      <c r="D25" s="10" t="s">
        <v>59</v>
      </c>
      <c r="E25" s="10"/>
      <c r="F25" s="10" t="s">
        <v>41</v>
      </c>
      <c r="G25" s="10" t="s">
        <v>60</v>
      </c>
      <c r="H25" s="10"/>
    </row>
    <row r="26" customFormat="false" ht="15" hidden="false" customHeight="false" outlineLevel="0" collapsed="false">
      <c r="A26" s="10" t="s">
        <v>61</v>
      </c>
      <c r="B26" s="10"/>
      <c r="C26" s="10"/>
      <c r="D26" s="10" t="s">
        <v>62</v>
      </c>
      <c r="E26" s="10"/>
      <c r="F26" s="10" t="s">
        <v>41</v>
      </c>
      <c r="G26" s="10" t="s">
        <v>63</v>
      </c>
      <c r="H26" s="10"/>
    </row>
    <row r="27" customFormat="false" ht="15" hidden="false" customHeight="false" outlineLevel="0" collapsed="false">
      <c r="A27" s="10" t="s">
        <v>64</v>
      </c>
      <c r="B27" s="10"/>
      <c r="C27" s="10"/>
      <c r="D27" s="10" t="s">
        <v>65</v>
      </c>
      <c r="E27" s="10"/>
      <c r="F27" s="10" t="s">
        <v>34</v>
      </c>
      <c r="G27" s="10" t="s">
        <v>66</v>
      </c>
      <c r="H27" s="10"/>
    </row>
    <row r="29" customFormat="false" ht="15" hidden="false" customHeight="false" outlineLevel="0" collapsed="false">
      <c r="A29" s="11" t="s">
        <v>67</v>
      </c>
      <c r="B29" s="11"/>
      <c r="C29" s="11"/>
      <c r="D29" s="11"/>
      <c r="E29" s="11"/>
      <c r="F29" s="11"/>
      <c r="G29" s="11"/>
      <c r="H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</row>
    <row r="32" customFormat="false" ht="15" hidden="false" customHeight="false" outlineLevel="0" collapsed="false">
      <c r="A32" s="12" t="s">
        <v>68</v>
      </c>
    </row>
  </sheetData>
  <mergeCells count="3">
    <mergeCell ref="A6:H6"/>
    <mergeCell ref="A14:H14"/>
    <mergeCell ref="A29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4" min="4" style="0" width="26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3" t="s">
        <v>69</v>
      </c>
      <c r="B1" s="13"/>
      <c r="D1" s="13" t="s">
        <v>70</v>
      </c>
      <c r="E1" s="13"/>
    </row>
    <row r="2" customFormat="false" ht="15" hidden="false" customHeight="false" outlineLevel="0" collapsed="false">
      <c r="A2" s="14" t="s">
        <v>71</v>
      </c>
      <c r="B2" s="15" t="s">
        <v>5</v>
      </c>
      <c r="D2" s="14" t="s">
        <v>6</v>
      </c>
      <c r="E2" s="15" t="s">
        <v>7</v>
      </c>
    </row>
    <row r="3" customFormat="false" ht="15" hidden="false" customHeight="false" outlineLevel="0" collapsed="false">
      <c r="A3" s="14" t="s">
        <v>72</v>
      </c>
      <c r="B3" s="15" t="s">
        <v>9</v>
      </c>
      <c r="D3" s="14" t="s">
        <v>19</v>
      </c>
      <c r="E3" s="15" t="s">
        <v>20</v>
      </c>
    </row>
    <row r="4" customFormat="false" ht="15" hidden="false" customHeight="false" outlineLevel="0" collapsed="false">
      <c r="A4" s="14" t="s">
        <v>73</v>
      </c>
      <c r="B4" s="15" t="s">
        <v>13</v>
      </c>
      <c r="D4" s="14" t="s">
        <v>74</v>
      </c>
      <c r="E4" s="15" t="s">
        <v>75</v>
      </c>
    </row>
    <row r="5" customFormat="false" ht="15" hidden="false" customHeight="false" outlineLevel="0" collapsed="false">
      <c r="A5" s="14" t="s">
        <v>76</v>
      </c>
      <c r="B5" s="15" t="s">
        <v>77</v>
      </c>
      <c r="D5" s="14" t="s">
        <v>78</v>
      </c>
      <c r="E5" s="15" t="s">
        <v>22</v>
      </c>
    </row>
    <row r="6" customFormat="false" ht="15" hidden="false" customHeight="false" outlineLevel="0" collapsed="false">
      <c r="A6" s="14" t="s">
        <v>79</v>
      </c>
      <c r="B6" s="15" t="s">
        <v>80</v>
      </c>
      <c r="D6" s="14" t="s">
        <v>10</v>
      </c>
      <c r="E6" s="15" t="s">
        <v>11</v>
      </c>
    </row>
    <row r="7" customFormat="false" ht="15" hidden="false" customHeight="false" outlineLevel="0" collapsed="false">
      <c r="A7" s="14" t="s">
        <v>81</v>
      </c>
      <c r="B7" s="15" t="s">
        <v>82</v>
      </c>
      <c r="D7" s="14" t="s">
        <v>14</v>
      </c>
      <c r="E7" s="15" t="s">
        <v>11</v>
      </c>
    </row>
    <row r="8" customFormat="false" ht="15" hidden="false" customHeight="false" outlineLevel="0" collapsed="false">
      <c r="A8" s="14" t="s">
        <v>83</v>
      </c>
      <c r="B8" s="15" t="s">
        <v>84</v>
      </c>
      <c r="D8" s="14" t="s">
        <v>17</v>
      </c>
      <c r="E8" s="15" t="s">
        <v>18</v>
      </c>
    </row>
    <row r="9" customFormat="false" ht="15" hidden="false" customHeight="false" outlineLevel="0" collapsed="false">
      <c r="A9" s="14" t="s">
        <v>85</v>
      </c>
      <c r="B9" s="15" t="s">
        <v>86</v>
      </c>
      <c r="D9" s="14" t="s">
        <v>87</v>
      </c>
      <c r="E9" s="15" t="s">
        <v>88</v>
      </c>
    </row>
    <row r="10" customFormat="false" ht="15" hidden="false" customHeight="false" outlineLevel="0" collapsed="false">
      <c r="A10" s="16"/>
      <c r="B10" s="16"/>
      <c r="D10" s="14" t="s">
        <v>89</v>
      </c>
      <c r="E10" s="15" t="s">
        <v>90</v>
      </c>
    </row>
    <row r="11" customFormat="false" ht="15" hidden="false" customHeight="false" outlineLevel="0" collapsed="false">
      <c r="A11" s="16"/>
      <c r="B11" s="16"/>
      <c r="D11" s="16"/>
      <c r="E11" s="16"/>
    </row>
  </sheetData>
  <mergeCells count="2">
    <mergeCell ref="A1:B1"/>
    <mergeCell ref="D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4" min="3" style="0" width="14"/>
    <col collapsed="false" customWidth="true" hidden="false" outlineLevel="0" max="7" min="5" style="0" width="12"/>
  </cols>
  <sheetData>
    <row r="1" customFormat="false" ht="19.5" hidden="false" customHeight="true" outlineLevel="0" collapsed="false">
      <c r="A1" s="17" t="s">
        <v>91</v>
      </c>
      <c r="B1" s="17"/>
      <c r="C1" s="17"/>
      <c r="D1" s="17"/>
      <c r="E1" s="17"/>
      <c r="F1" s="17"/>
      <c r="G1" s="17"/>
    </row>
    <row r="3" customFormat="false" ht="15" hidden="false" customHeight="false" outlineLevel="0" collapsed="false">
      <c r="A3" s="18" t="s">
        <v>92</v>
      </c>
      <c r="B3" s="18" t="s">
        <v>93</v>
      </c>
      <c r="C3" s="18" t="s">
        <v>25</v>
      </c>
      <c r="D3" s="18" t="s">
        <v>94</v>
      </c>
      <c r="E3" s="18" t="s">
        <v>95</v>
      </c>
      <c r="F3" s="18" t="s">
        <v>96</v>
      </c>
      <c r="G3" s="18" t="s">
        <v>26</v>
      </c>
    </row>
    <row r="4" customFormat="false" ht="15" hidden="false" customHeight="false" outlineLevel="0" collapsed="false">
      <c r="A4" s="19" t="s">
        <v>97</v>
      </c>
      <c r="B4" s="19" t="s">
        <v>28</v>
      </c>
      <c r="C4" s="20" t="n">
        <v>114</v>
      </c>
      <c r="D4" s="19" t="s">
        <v>98</v>
      </c>
      <c r="E4" s="19" t="n">
        <v>70</v>
      </c>
      <c r="F4" s="19" t="n">
        <v>99</v>
      </c>
      <c r="G4" s="21" t="s">
        <v>30</v>
      </c>
    </row>
    <row r="5" customFormat="false" ht="15" hidden="false" customHeight="false" outlineLevel="0" collapsed="false">
      <c r="A5" s="22" t="s">
        <v>99</v>
      </c>
      <c r="B5" s="22" t="s">
        <v>32</v>
      </c>
      <c r="C5" s="23" t="n">
        <v>24</v>
      </c>
      <c r="D5" s="22" t="s">
        <v>98</v>
      </c>
      <c r="E5" s="22" t="n">
        <v>7</v>
      </c>
      <c r="F5" s="22" t="n">
        <v>20</v>
      </c>
      <c r="G5" s="24" t="s">
        <v>34</v>
      </c>
    </row>
    <row r="6" customFormat="false" ht="15" hidden="false" customHeight="false" outlineLevel="0" collapsed="false">
      <c r="A6" s="22" t="s">
        <v>100</v>
      </c>
      <c r="B6" s="22" t="s">
        <v>36</v>
      </c>
      <c r="C6" s="23" t="n">
        <v>1.6</v>
      </c>
      <c r="D6" s="22" t="s">
        <v>98</v>
      </c>
      <c r="E6" s="22" t="n">
        <v>0.7</v>
      </c>
      <c r="F6" s="22" t="n">
        <v>1.3</v>
      </c>
      <c r="G6" s="24" t="s">
        <v>34</v>
      </c>
    </row>
    <row r="7" customFormat="false" ht="15" hidden="false" customHeight="false" outlineLevel="0" collapsed="false">
      <c r="A7" s="22" t="s">
        <v>101</v>
      </c>
      <c r="B7" s="22" t="s">
        <v>39</v>
      </c>
      <c r="C7" s="23" t="n">
        <v>47</v>
      </c>
      <c r="D7" s="22" t="s">
        <v>102</v>
      </c>
      <c r="E7" s="22" t="n">
        <v>60</v>
      </c>
      <c r="F7" s="22" t="n">
        <v>120</v>
      </c>
      <c r="G7" s="24" t="s">
        <v>41</v>
      </c>
    </row>
    <row r="8" customFormat="false" ht="15" hidden="false" customHeight="false" outlineLevel="0" collapsed="false">
      <c r="A8" s="22" t="s">
        <v>103</v>
      </c>
      <c r="B8" s="22" t="s">
        <v>43</v>
      </c>
      <c r="C8" s="23" t="n">
        <v>24</v>
      </c>
      <c r="D8" s="22" t="s">
        <v>104</v>
      </c>
      <c r="E8" s="22" t="n">
        <v>10</v>
      </c>
      <c r="F8" s="22" t="n">
        <v>20</v>
      </c>
      <c r="G8" s="24" t="s">
        <v>34</v>
      </c>
    </row>
    <row r="9" customFormat="false" ht="15" hidden="false" customHeight="false" outlineLevel="0" collapsed="false">
      <c r="A9" s="15" t="s">
        <v>105</v>
      </c>
      <c r="B9" s="15" t="s">
        <v>106</v>
      </c>
      <c r="C9" s="25" t="n">
        <v>141</v>
      </c>
      <c r="D9" s="15" t="s">
        <v>107</v>
      </c>
      <c r="E9" s="15" t="n">
        <v>136</v>
      </c>
      <c r="F9" s="15" t="n">
        <v>145</v>
      </c>
      <c r="G9" s="25" t="s">
        <v>108</v>
      </c>
    </row>
    <row r="10" customFormat="false" ht="15" hidden="false" customHeight="false" outlineLevel="0" collapsed="false">
      <c r="A10" s="15" t="s">
        <v>109</v>
      </c>
      <c r="B10" s="15" t="s">
        <v>110</v>
      </c>
      <c r="C10" s="25" t="n">
        <v>4</v>
      </c>
      <c r="D10" s="15" t="s">
        <v>107</v>
      </c>
      <c r="E10" s="15" t="n">
        <v>3.5</v>
      </c>
      <c r="F10" s="15" t="n">
        <v>5.1</v>
      </c>
      <c r="G10" s="25" t="s">
        <v>108</v>
      </c>
    </row>
    <row r="11" customFormat="false" ht="15" hidden="false" customHeight="false" outlineLevel="0" collapsed="false">
      <c r="A11" s="22" t="s">
        <v>111</v>
      </c>
      <c r="B11" s="22" t="s">
        <v>46</v>
      </c>
      <c r="C11" s="23" t="n">
        <v>96</v>
      </c>
      <c r="D11" s="22" t="s">
        <v>107</v>
      </c>
      <c r="E11" s="22" t="n">
        <v>98</v>
      </c>
      <c r="F11" s="22" t="n">
        <v>107</v>
      </c>
      <c r="G11" s="24" t="s">
        <v>41</v>
      </c>
    </row>
    <row r="12" customFormat="false" ht="15" hidden="false" customHeight="false" outlineLevel="0" collapsed="false">
      <c r="A12" s="22" t="s">
        <v>112</v>
      </c>
      <c r="B12" s="22" t="s">
        <v>49</v>
      </c>
      <c r="C12" s="23" t="n">
        <v>19</v>
      </c>
      <c r="D12" s="22" t="s">
        <v>107</v>
      </c>
      <c r="E12" s="22" t="n">
        <v>22</v>
      </c>
      <c r="F12" s="22" t="n">
        <v>29</v>
      </c>
      <c r="G12" s="24" t="s">
        <v>41</v>
      </c>
    </row>
    <row r="13" customFormat="false" ht="15" hidden="false" customHeight="false" outlineLevel="0" collapsed="false">
      <c r="A13" s="22" t="s">
        <v>113</v>
      </c>
      <c r="B13" s="22" t="s">
        <v>52</v>
      </c>
      <c r="C13" s="23" t="n">
        <v>6</v>
      </c>
      <c r="D13" s="22" t="s">
        <v>107</v>
      </c>
      <c r="E13" s="22" t="n">
        <v>7</v>
      </c>
      <c r="F13" s="22" t="n">
        <v>16</v>
      </c>
      <c r="G13" s="24" t="s">
        <v>41</v>
      </c>
    </row>
    <row r="14" customFormat="false" ht="15" hidden="false" customHeight="false" outlineLevel="0" collapsed="false">
      <c r="A14" s="22" t="s">
        <v>114</v>
      </c>
      <c r="B14" s="22" t="s">
        <v>55</v>
      </c>
      <c r="C14" s="23" t="n">
        <v>10.3</v>
      </c>
      <c r="D14" s="22" t="s">
        <v>98</v>
      </c>
      <c r="E14" s="22" t="n">
        <v>8.6</v>
      </c>
      <c r="F14" s="22" t="n">
        <v>10.2</v>
      </c>
      <c r="G14" s="24" t="s">
        <v>34</v>
      </c>
    </row>
    <row r="15" customFormat="false" ht="15" hidden="false" customHeight="false" outlineLevel="0" collapsed="false">
      <c r="A15" s="15" t="s">
        <v>115</v>
      </c>
      <c r="B15" s="15" t="s">
        <v>116</v>
      </c>
      <c r="C15" s="25" t="n">
        <v>7.3</v>
      </c>
      <c r="D15" s="15" t="s">
        <v>117</v>
      </c>
      <c r="E15" s="15" t="n">
        <v>6.3</v>
      </c>
      <c r="F15" s="15" t="n">
        <v>8.2</v>
      </c>
      <c r="G15" s="25" t="s">
        <v>108</v>
      </c>
    </row>
    <row r="16" customFormat="false" ht="15" hidden="false" customHeight="false" outlineLevel="0" collapsed="false">
      <c r="A16" s="22" t="s">
        <v>118</v>
      </c>
      <c r="B16" s="22" t="s">
        <v>58</v>
      </c>
      <c r="C16" s="23" t="n">
        <v>3.3</v>
      </c>
      <c r="D16" s="22" t="s">
        <v>117</v>
      </c>
      <c r="E16" s="22" t="n">
        <v>3.5</v>
      </c>
      <c r="F16" s="22" t="n">
        <v>5</v>
      </c>
      <c r="G16" s="24" t="s">
        <v>41</v>
      </c>
    </row>
    <row r="17" customFormat="false" ht="15" hidden="false" customHeight="false" outlineLevel="0" collapsed="false">
      <c r="A17" s="15" t="s">
        <v>119</v>
      </c>
      <c r="B17" s="15" t="s">
        <v>120</v>
      </c>
      <c r="C17" s="25" t="n">
        <v>2.2</v>
      </c>
      <c r="D17" s="15" t="s">
        <v>117</v>
      </c>
      <c r="E17" s="15" t="n">
        <v>2</v>
      </c>
      <c r="F17" s="15" t="n">
        <v>3.5</v>
      </c>
      <c r="G17" s="25" t="s">
        <v>108</v>
      </c>
    </row>
    <row r="18" customFormat="false" ht="15" hidden="false" customHeight="false" outlineLevel="0" collapsed="false">
      <c r="A18" s="15" t="s">
        <v>121</v>
      </c>
      <c r="B18" s="15" t="s">
        <v>122</v>
      </c>
      <c r="C18" s="25" t="n">
        <v>1.9</v>
      </c>
      <c r="D18" s="15" t="s">
        <v>104</v>
      </c>
      <c r="E18" s="15" t="n">
        <v>1.1</v>
      </c>
      <c r="F18" s="15" t="n">
        <v>2.5</v>
      </c>
      <c r="G18" s="25" t="s">
        <v>108</v>
      </c>
    </row>
    <row r="19" customFormat="false" ht="15" hidden="false" customHeight="false" outlineLevel="0" collapsed="false">
      <c r="A19" s="15" t="s">
        <v>123</v>
      </c>
      <c r="B19" s="15" t="s">
        <v>124</v>
      </c>
      <c r="C19" s="25" t="n">
        <v>1.1</v>
      </c>
      <c r="D19" s="15" t="s">
        <v>98</v>
      </c>
      <c r="E19" s="15" t="n">
        <v>0.2</v>
      </c>
      <c r="F19" s="15" t="n">
        <v>1.2</v>
      </c>
      <c r="G19" s="25" t="s">
        <v>108</v>
      </c>
    </row>
    <row r="20" customFormat="false" ht="15" hidden="false" customHeight="false" outlineLevel="0" collapsed="false">
      <c r="A20" s="22" t="s">
        <v>125</v>
      </c>
      <c r="B20" s="22" t="s">
        <v>61</v>
      </c>
      <c r="C20" s="23" t="n">
        <v>0</v>
      </c>
      <c r="D20" s="22" t="s">
        <v>126</v>
      </c>
      <c r="E20" s="22" t="n">
        <v>40</v>
      </c>
      <c r="F20" s="22" t="n">
        <v>129</v>
      </c>
      <c r="G20" s="24" t="s">
        <v>41</v>
      </c>
    </row>
    <row r="21" customFormat="false" ht="15" hidden="false" customHeight="false" outlineLevel="0" collapsed="false">
      <c r="A21" s="22" t="s">
        <v>127</v>
      </c>
      <c r="B21" s="22" t="s">
        <v>64</v>
      </c>
      <c r="C21" s="23" t="n">
        <v>53</v>
      </c>
      <c r="D21" s="22" t="s">
        <v>126</v>
      </c>
      <c r="E21" s="22" t="n">
        <v>10</v>
      </c>
      <c r="F21" s="22" t="n">
        <v>40</v>
      </c>
      <c r="G21" s="24" t="s">
        <v>34</v>
      </c>
    </row>
    <row r="22" customFormat="false" ht="15" hidden="false" customHeight="false" outlineLevel="0" collapsed="false">
      <c r="A22" s="15" t="s">
        <v>128</v>
      </c>
      <c r="B22" s="15" t="s">
        <v>129</v>
      </c>
      <c r="C22" s="25" t="n">
        <v>29</v>
      </c>
      <c r="D22" s="15" t="s">
        <v>126</v>
      </c>
      <c r="E22" s="15" t="n">
        <v>7</v>
      </c>
      <c r="F22" s="15" t="n">
        <v>56</v>
      </c>
      <c r="G22" s="25" t="s">
        <v>108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17" t="s">
        <v>130</v>
      </c>
      <c r="B1" s="17"/>
      <c r="C1" s="17"/>
      <c r="D1" s="17"/>
      <c r="E1" s="17"/>
      <c r="F1" s="17"/>
    </row>
    <row r="3" customFormat="false" ht="15" hidden="false" customHeight="false" outlineLevel="0" collapsed="false">
      <c r="A3" s="26" t="s">
        <v>24</v>
      </c>
      <c r="B3" s="26" t="s">
        <v>92</v>
      </c>
      <c r="C3" s="26" t="s">
        <v>94</v>
      </c>
      <c r="D3" s="26" t="s">
        <v>41</v>
      </c>
      <c r="E3" s="26" t="s">
        <v>34</v>
      </c>
      <c r="F3" s="26" t="s">
        <v>131</v>
      </c>
    </row>
    <row r="4" customFormat="false" ht="15" hidden="false" customHeight="false" outlineLevel="0" collapsed="false">
      <c r="A4" s="27" t="s">
        <v>28</v>
      </c>
      <c r="B4" s="27" t="s">
        <v>97</v>
      </c>
      <c r="C4" s="27" t="s">
        <v>98</v>
      </c>
      <c r="D4" s="27" t="n">
        <v>70</v>
      </c>
      <c r="E4" s="27" t="n">
        <v>99</v>
      </c>
      <c r="F4" s="27" t="s">
        <v>132</v>
      </c>
    </row>
    <row r="5" customFormat="false" ht="15" hidden="false" customHeight="false" outlineLevel="0" collapsed="false">
      <c r="A5" s="27" t="s">
        <v>32</v>
      </c>
      <c r="B5" s="27" t="s">
        <v>99</v>
      </c>
      <c r="C5" s="27" t="s">
        <v>98</v>
      </c>
      <c r="D5" s="27" t="n">
        <v>7</v>
      </c>
      <c r="E5" s="27" t="n">
        <v>20</v>
      </c>
      <c r="F5" s="27" t="s">
        <v>133</v>
      </c>
    </row>
    <row r="6" customFormat="false" ht="15" hidden="false" customHeight="false" outlineLevel="0" collapsed="false">
      <c r="A6" s="27" t="s">
        <v>36</v>
      </c>
      <c r="B6" s="27" t="s">
        <v>100</v>
      </c>
      <c r="C6" s="27" t="s">
        <v>98</v>
      </c>
      <c r="D6" s="27" t="n">
        <v>0.7</v>
      </c>
      <c r="E6" s="27" t="n">
        <v>1.3</v>
      </c>
      <c r="F6" s="27" t="s">
        <v>134</v>
      </c>
    </row>
    <row r="7" customFormat="false" ht="15" hidden="false" customHeight="false" outlineLevel="0" collapsed="false">
      <c r="A7" s="27" t="s">
        <v>39</v>
      </c>
      <c r="B7" s="27" t="s">
        <v>101</v>
      </c>
      <c r="C7" s="27" t="s">
        <v>102</v>
      </c>
      <c r="D7" s="27" t="n">
        <v>60</v>
      </c>
      <c r="E7" s="27" t="n">
        <v>120</v>
      </c>
      <c r="F7" s="27" t="s">
        <v>135</v>
      </c>
    </row>
    <row r="8" customFormat="false" ht="15" hidden="false" customHeight="false" outlineLevel="0" collapsed="false">
      <c r="A8" s="27" t="s">
        <v>43</v>
      </c>
      <c r="B8" s="27" t="s">
        <v>103</v>
      </c>
      <c r="C8" s="27" t="s">
        <v>104</v>
      </c>
      <c r="D8" s="27" t="n">
        <v>10</v>
      </c>
      <c r="E8" s="27" t="n">
        <v>20</v>
      </c>
      <c r="F8" s="27" t="s">
        <v>135</v>
      </c>
    </row>
    <row r="9" customFormat="false" ht="15" hidden="false" customHeight="false" outlineLevel="0" collapsed="false">
      <c r="A9" s="27" t="s">
        <v>106</v>
      </c>
      <c r="B9" s="27" t="s">
        <v>105</v>
      </c>
      <c r="C9" s="27" t="s">
        <v>107</v>
      </c>
      <c r="D9" s="27" t="n">
        <v>136</v>
      </c>
      <c r="E9" s="27" t="n">
        <v>145</v>
      </c>
      <c r="F9" s="27" t="s">
        <v>136</v>
      </c>
    </row>
    <row r="10" customFormat="false" ht="15" hidden="false" customHeight="false" outlineLevel="0" collapsed="false">
      <c r="A10" s="27" t="s">
        <v>110</v>
      </c>
      <c r="B10" s="27" t="s">
        <v>109</v>
      </c>
      <c r="C10" s="27" t="s">
        <v>107</v>
      </c>
      <c r="D10" s="27" t="n">
        <v>3.5</v>
      </c>
      <c r="E10" s="27" t="n">
        <v>5.1</v>
      </c>
      <c r="F10" s="27" t="s">
        <v>136</v>
      </c>
    </row>
    <row r="11" customFormat="false" ht="15" hidden="false" customHeight="false" outlineLevel="0" collapsed="false">
      <c r="A11" s="27" t="s">
        <v>46</v>
      </c>
      <c r="B11" s="27" t="s">
        <v>111</v>
      </c>
      <c r="C11" s="27" t="s">
        <v>107</v>
      </c>
      <c r="D11" s="27" t="n">
        <v>98</v>
      </c>
      <c r="E11" s="27" t="n">
        <v>107</v>
      </c>
      <c r="F11" s="27" t="s">
        <v>136</v>
      </c>
    </row>
    <row r="12" customFormat="false" ht="15" hidden="false" customHeight="false" outlineLevel="0" collapsed="false">
      <c r="A12" s="27" t="s">
        <v>49</v>
      </c>
      <c r="B12" s="27" t="s">
        <v>112</v>
      </c>
      <c r="C12" s="27" t="s">
        <v>107</v>
      </c>
      <c r="D12" s="27" t="n">
        <v>22</v>
      </c>
      <c r="E12" s="27" t="n">
        <v>29</v>
      </c>
      <c r="F12" s="27" t="s">
        <v>137</v>
      </c>
    </row>
    <row r="13" customFormat="false" ht="15" hidden="false" customHeight="false" outlineLevel="0" collapsed="false">
      <c r="A13" s="27" t="s">
        <v>52</v>
      </c>
      <c r="B13" s="27" t="s">
        <v>113</v>
      </c>
      <c r="C13" s="27" t="s">
        <v>107</v>
      </c>
      <c r="D13" s="27" t="n">
        <v>7</v>
      </c>
      <c r="E13" s="27" t="n">
        <v>16</v>
      </c>
      <c r="F13" s="27" t="s">
        <v>135</v>
      </c>
    </row>
    <row r="14" customFormat="false" ht="15" hidden="false" customHeight="false" outlineLevel="0" collapsed="false">
      <c r="A14" s="27" t="s">
        <v>55</v>
      </c>
      <c r="B14" s="27" t="s">
        <v>114</v>
      </c>
      <c r="C14" s="27" t="s">
        <v>98</v>
      </c>
      <c r="D14" s="27" t="n">
        <v>8.6</v>
      </c>
      <c r="E14" s="27" t="n">
        <v>10.2</v>
      </c>
      <c r="F14" s="27" t="s">
        <v>138</v>
      </c>
    </row>
    <row r="15" customFormat="false" ht="15" hidden="false" customHeight="false" outlineLevel="0" collapsed="false">
      <c r="A15" s="27" t="s">
        <v>116</v>
      </c>
      <c r="B15" s="27" t="s">
        <v>115</v>
      </c>
      <c r="C15" s="27" t="s">
        <v>117</v>
      </c>
      <c r="D15" s="27" t="n">
        <v>6.3</v>
      </c>
      <c r="E15" s="27" t="n">
        <v>8.2</v>
      </c>
      <c r="F15" s="27" t="s">
        <v>139</v>
      </c>
    </row>
    <row r="16" customFormat="false" ht="15" hidden="false" customHeight="false" outlineLevel="0" collapsed="false">
      <c r="A16" s="27" t="s">
        <v>58</v>
      </c>
      <c r="B16" s="27" t="s">
        <v>118</v>
      </c>
      <c r="C16" s="27" t="s">
        <v>117</v>
      </c>
      <c r="D16" s="27" t="n">
        <v>3.5</v>
      </c>
      <c r="E16" s="27" t="n">
        <v>5</v>
      </c>
      <c r="F16" s="27" t="s">
        <v>140</v>
      </c>
    </row>
    <row r="17" customFormat="false" ht="15" hidden="false" customHeight="false" outlineLevel="0" collapsed="false">
      <c r="A17" s="27" t="s">
        <v>120</v>
      </c>
      <c r="B17" s="27" t="s">
        <v>119</v>
      </c>
      <c r="C17" s="27" t="s">
        <v>117</v>
      </c>
      <c r="D17" s="27" t="n">
        <v>2</v>
      </c>
      <c r="E17" s="27" t="n">
        <v>3.5</v>
      </c>
      <c r="F17" s="27" t="s">
        <v>135</v>
      </c>
    </row>
    <row r="18" customFormat="false" ht="15" hidden="false" customHeight="false" outlineLevel="0" collapsed="false">
      <c r="A18" s="27" t="s">
        <v>122</v>
      </c>
      <c r="B18" s="27" t="s">
        <v>121</v>
      </c>
      <c r="C18" s="27" t="s">
        <v>104</v>
      </c>
      <c r="D18" s="27" t="n">
        <v>1.1</v>
      </c>
      <c r="E18" s="27" t="n">
        <v>2.5</v>
      </c>
      <c r="F18" s="27" t="s">
        <v>135</v>
      </c>
    </row>
    <row r="19" customFormat="false" ht="15" hidden="false" customHeight="false" outlineLevel="0" collapsed="false">
      <c r="A19" s="27" t="s">
        <v>124</v>
      </c>
      <c r="B19" s="27" t="s">
        <v>123</v>
      </c>
      <c r="C19" s="27" t="s">
        <v>98</v>
      </c>
      <c r="D19" s="27" t="n">
        <v>0.2</v>
      </c>
      <c r="E19" s="27" t="n">
        <v>1.2</v>
      </c>
      <c r="F19" s="27" t="s">
        <v>141</v>
      </c>
    </row>
    <row r="20" customFormat="false" ht="15" hidden="false" customHeight="false" outlineLevel="0" collapsed="false">
      <c r="A20" s="27" t="s">
        <v>61</v>
      </c>
      <c r="B20" s="27" t="s">
        <v>125</v>
      </c>
      <c r="C20" s="27" t="s">
        <v>126</v>
      </c>
      <c r="D20" s="27" t="n">
        <v>40</v>
      </c>
      <c r="E20" s="27" t="n">
        <v>129</v>
      </c>
      <c r="F20" s="27" t="s">
        <v>142</v>
      </c>
    </row>
    <row r="21" customFormat="false" ht="15" hidden="false" customHeight="false" outlineLevel="0" collapsed="false">
      <c r="A21" s="27" t="s">
        <v>64</v>
      </c>
      <c r="B21" s="27" t="s">
        <v>127</v>
      </c>
      <c r="C21" s="27" t="s">
        <v>126</v>
      </c>
      <c r="D21" s="27" t="n">
        <v>10</v>
      </c>
      <c r="E21" s="27" t="n">
        <v>40</v>
      </c>
      <c r="F21" s="27" t="s">
        <v>143</v>
      </c>
    </row>
    <row r="22" customFormat="false" ht="15" hidden="false" customHeight="false" outlineLevel="0" collapsed="false">
      <c r="A22" s="27" t="s">
        <v>129</v>
      </c>
      <c r="B22" s="27" t="s">
        <v>128</v>
      </c>
      <c r="C22" s="27" t="s">
        <v>126</v>
      </c>
      <c r="D22" s="27" t="n">
        <v>7</v>
      </c>
      <c r="E22" s="27" t="n">
        <v>56</v>
      </c>
      <c r="F22" s="27" t="s">
        <v>143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17" t="s">
        <v>144</v>
      </c>
      <c r="B1" s="17"/>
      <c r="C1" s="17"/>
      <c r="D1" s="17"/>
    </row>
    <row r="3" customFormat="false" ht="15" hidden="false" customHeight="false" outlineLevel="0" collapsed="false">
      <c r="A3" s="28" t="s">
        <v>145</v>
      </c>
      <c r="B3" s="28" t="s">
        <v>25</v>
      </c>
      <c r="C3" s="28" t="s">
        <v>95</v>
      </c>
      <c r="D3" s="28" t="s">
        <v>96</v>
      </c>
    </row>
    <row r="4" customFormat="false" ht="15" hidden="false" customHeight="false" outlineLevel="0" collapsed="false">
      <c r="A4" s="0" t="s">
        <v>146</v>
      </c>
      <c r="B4" s="0" t="n">
        <v>1.64</v>
      </c>
      <c r="C4" s="0" t="n">
        <v>0.7</v>
      </c>
      <c r="D4" s="0" t="n">
        <v>1.3</v>
      </c>
    </row>
    <row r="5" customFormat="false" ht="15" hidden="false" customHeight="false" outlineLevel="0" collapsed="false">
      <c r="A5" s="0" t="s">
        <v>147</v>
      </c>
      <c r="B5" s="0" t="n">
        <v>1.52</v>
      </c>
      <c r="C5" s="0" t="n">
        <v>0.7</v>
      </c>
      <c r="D5" s="0" t="n">
        <v>1.3</v>
      </c>
    </row>
    <row r="6" customFormat="false" ht="15" hidden="false" customHeight="false" outlineLevel="0" collapsed="false">
      <c r="A6" s="0" t="s">
        <v>148</v>
      </c>
      <c r="B6" s="0" t="n">
        <v>1.57</v>
      </c>
      <c r="C6" s="0" t="n">
        <v>0.7</v>
      </c>
      <c r="D6" s="0" t="n">
        <v>1.3</v>
      </c>
    </row>
    <row r="7" customFormat="false" ht="15" hidden="false" customHeight="false" outlineLevel="0" collapsed="false">
      <c r="A7" s="0" t="s">
        <v>149</v>
      </c>
      <c r="B7" s="0" t="n">
        <v>1.6</v>
      </c>
      <c r="C7" s="0" t="n">
        <v>0.7</v>
      </c>
      <c r="D7" s="0" t="n">
        <v>1.3</v>
      </c>
    </row>
    <row r="8" customFormat="false" ht="15" hidden="false" customHeight="false" outlineLevel="0" collapsed="false">
      <c r="A8" s="0" t="s">
        <v>150</v>
      </c>
      <c r="B8" s="0" t="n">
        <v>1.61</v>
      </c>
      <c r="C8" s="0" t="n">
        <v>0.7</v>
      </c>
      <c r="D8" s="0" t="n">
        <v>1.3</v>
      </c>
    </row>
    <row r="9" customFormat="false" ht="15" hidden="false" customHeight="false" outlineLevel="0" collapsed="false">
      <c r="A9" s="0" t="s">
        <v>151</v>
      </c>
      <c r="B9" s="0" t="n">
        <v>1.6</v>
      </c>
      <c r="C9" s="0" t="n">
        <v>0.7</v>
      </c>
      <c r="D9" s="0" t="n">
        <v>1.3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15" hidden="false" customHeight="false" outlineLevel="0" collapsed="false">
      <c r="A1" s="17" t="s">
        <v>152</v>
      </c>
      <c r="B1" s="17"/>
      <c r="C1" s="17"/>
      <c r="D1" s="17"/>
      <c r="E1" s="17"/>
      <c r="F1" s="17"/>
    </row>
    <row r="22" customFormat="false" ht="15" hidden="false" customHeight="false" outlineLevel="0" collapsed="false">
      <c r="A22" s="28" t="s">
        <v>24</v>
      </c>
      <c r="B22" s="28" t="s">
        <v>25</v>
      </c>
      <c r="C22" s="28" t="s">
        <v>96</v>
      </c>
    </row>
    <row r="23" customFormat="false" ht="15" hidden="false" customHeight="false" outlineLevel="0" collapsed="false">
      <c r="A23" s="0" t="s">
        <v>28</v>
      </c>
      <c r="B23" s="0" t="n">
        <v>114</v>
      </c>
      <c r="C23" s="0" t="n">
        <v>99</v>
      </c>
    </row>
    <row r="24" customFormat="false" ht="15" hidden="false" customHeight="false" outlineLevel="0" collapsed="false">
      <c r="A24" s="0" t="s">
        <v>32</v>
      </c>
      <c r="B24" s="0" t="n">
        <v>24</v>
      </c>
      <c r="C24" s="0" t="n">
        <v>20</v>
      </c>
    </row>
    <row r="25" customFormat="false" ht="15" hidden="false" customHeight="false" outlineLevel="0" collapsed="false">
      <c r="A25" s="0" t="s">
        <v>36</v>
      </c>
      <c r="B25" s="0" t="n">
        <v>1.6</v>
      </c>
      <c r="C25" s="0" t="n">
        <v>1.3</v>
      </c>
    </row>
    <row r="26" customFormat="false" ht="15" hidden="false" customHeight="false" outlineLevel="0" collapsed="false">
      <c r="A26" s="0" t="s">
        <v>39</v>
      </c>
      <c r="B26" s="0" t="n">
        <v>47</v>
      </c>
      <c r="C26" s="0" t="n">
        <v>120</v>
      </c>
    </row>
    <row r="27" customFormat="false" ht="15" hidden="false" customHeight="false" outlineLevel="0" collapsed="false">
      <c r="A27" s="0" t="s">
        <v>43</v>
      </c>
      <c r="B27" s="0" t="n">
        <v>24</v>
      </c>
      <c r="C27" s="0" t="n">
        <v>20</v>
      </c>
    </row>
    <row r="28" customFormat="false" ht="15" hidden="false" customHeight="false" outlineLevel="0" collapsed="false">
      <c r="A28" s="0" t="s">
        <v>106</v>
      </c>
      <c r="B28" s="0" t="n">
        <v>141</v>
      </c>
      <c r="C28" s="0" t="n">
        <v>145</v>
      </c>
    </row>
    <row r="29" customFormat="false" ht="15" hidden="false" customHeight="false" outlineLevel="0" collapsed="false">
      <c r="A29" s="0" t="s">
        <v>110</v>
      </c>
      <c r="B29" s="0" t="n">
        <v>4</v>
      </c>
      <c r="C29" s="0" t="n">
        <v>5.1</v>
      </c>
    </row>
    <row r="30" customFormat="false" ht="15" hidden="false" customHeight="false" outlineLevel="0" collapsed="false">
      <c r="A30" s="0" t="s">
        <v>46</v>
      </c>
      <c r="B30" s="0" t="n">
        <v>96</v>
      </c>
      <c r="C30" s="0" t="n">
        <v>107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4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7" t="s">
        <v>153</v>
      </c>
      <c r="B1" s="17"/>
      <c r="C1" s="17"/>
      <c r="D1" s="17"/>
      <c r="E1" s="17"/>
      <c r="F1" s="17"/>
      <c r="G1" s="17"/>
      <c r="H1" s="17"/>
    </row>
    <row r="3" customFormat="false" ht="15" hidden="false" customHeight="false" outlineLevel="0" collapsed="false">
      <c r="A3" s="26" t="s">
        <v>154</v>
      </c>
      <c r="B3" s="26" t="s">
        <v>155</v>
      </c>
      <c r="C3" s="26" t="s">
        <v>156</v>
      </c>
      <c r="D3" s="26" t="s">
        <v>157</v>
      </c>
      <c r="E3" s="26" t="s">
        <v>158</v>
      </c>
      <c r="F3" s="26" t="s">
        <v>159</v>
      </c>
      <c r="G3" s="26" t="s">
        <v>160</v>
      </c>
      <c r="H3" s="26" t="s">
        <v>161</v>
      </c>
    </row>
    <row r="4" customFormat="false" ht="15" hidden="false" customHeight="false" outlineLevel="0" collapsed="false">
      <c r="A4" s="16" t="s">
        <v>162</v>
      </c>
      <c r="B4" s="16" t="n">
        <v>41.77</v>
      </c>
      <c r="C4" s="16" t="n">
        <v>42.36</v>
      </c>
      <c r="D4" s="16" t="n">
        <v>42.19</v>
      </c>
      <c r="E4" s="16" t="n">
        <v>41.45</v>
      </c>
      <c r="F4" s="16" t="n">
        <f aca="false">AVERAGE(C4:E4)</f>
        <v>42</v>
      </c>
      <c r="G4" s="16" t="n">
        <f aca="false">STDEV(C4:E4)</f>
        <v>0.483838816136116</v>
      </c>
      <c r="H4" s="29" t="n">
        <f aca="false">IF(F4=0,0,G4/F4*100)</f>
        <v>1.15199718127647</v>
      </c>
    </row>
    <row r="5" customFormat="false" ht="15" hidden="false" customHeight="false" outlineLevel="0" collapsed="false">
      <c r="A5" s="16" t="s">
        <v>163</v>
      </c>
      <c r="B5" s="16" t="n">
        <v>41.47</v>
      </c>
      <c r="C5" s="16" t="n">
        <v>41.47</v>
      </c>
      <c r="D5" s="16" t="n">
        <v>42.48</v>
      </c>
      <c r="E5" s="16" t="n">
        <v>41.15</v>
      </c>
      <c r="F5" s="16" t="n">
        <f aca="false">AVERAGE(C5:E5)</f>
        <v>41.7</v>
      </c>
      <c r="G5" s="16" t="n">
        <f aca="false">STDEV(C5:E5)</f>
        <v>0.694190175672343</v>
      </c>
      <c r="H5" s="29" t="n">
        <f aca="false">IF(F5=0,0,G5/F5*100)</f>
        <v>1.6647246419001</v>
      </c>
    </row>
    <row r="6" customFormat="false" ht="15" hidden="false" customHeight="false" outlineLevel="0" collapsed="false">
      <c r="A6" s="16" t="s">
        <v>164</v>
      </c>
      <c r="B6" s="16" t="n">
        <v>118.65</v>
      </c>
      <c r="C6" s="16" t="n">
        <v>118.27</v>
      </c>
      <c r="D6" s="16" t="n">
        <v>119.74</v>
      </c>
      <c r="E6" s="16" t="n">
        <v>123.16</v>
      </c>
      <c r="F6" s="16" t="n">
        <f aca="false">AVERAGE(C6:E6)</f>
        <v>120.39</v>
      </c>
      <c r="G6" s="16" t="n">
        <f aca="false">STDEV(C6:E6)</f>
        <v>2.50896392959325</v>
      </c>
      <c r="H6" s="29" t="n">
        <f aca="false">IF(F6=0,0,G6/F6*100)</f>
        <v>2.08403017658713</v>
      </c>
    </row>
    <row r="8" customFormat="false" ht="15" hidden="false" customHeight="false" outlineLevel="0" collapsed="false">
      <c r="A8" s="30" t="s">
        <v>165</v>
      </c>
    </row>
    <row r="9" customFormat="false" ht="15" hidden="false" customHeight="false" outlineLevel="0" collapsed="false">
      <c r="A9" s="31" t="s">
        <v>166</v>
      </c>
    </row>
    <row r="10" customFormat="false" ht="15" hidden="false" customHeight="false" outlineLevel="0" collapsed="false">
      <c r="A10" s="32" t="s">
        <v>167</v>
      </c>
    </row>
    <row r="11" customFormat="false" ht="15" hidden="false" customHeight="false" outlineLevel="0" collapsed="false">
      <c r="A11" s="31" t="s">
        <v>168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7" t="s">
        <v>169</v>
      </c>
      <c r="B1" s="17"/>
    </row>
    <row r="3" customFormat="false" ht="15" hidden="false" customHeight="false" outlineLevel="0" collapsed="false">
      <c r="A3" s="14" t="s">
        <v>170</v>
      </c>
      <c r="B3" s="33" t="s">
        <v>171</v>
      </c>
    </row>
    <row r="4" customFormat="false" ht="15" hidden="false" customHeight="false" outlineLevel="0" collapsed="false">
      <c r="A4" s="14" t="s">
        <v>172</v>
      </c>
      <c r="B4" s="33" t="s">
        <v>173</v>
      </c>
    </row>
    <row r="5" customFormat="false" ht="15" hidden="false" customHeight="false" outlineLevel="0" collapsed="false">
      <c r="A5" s="14" t="s">
        <v>174</v>
      </c>
      <c r="B5" s="33" t="s">
        <v>175</v>
      </c>
    </row>
    <row r="6" customFormat="false" ht="15" hidden="false" customHeight="false" outlineLevel="0" collapsed="false">
      <c r="A6" s="14" t="s">
        <v>176</v>
      </c>
      <c r="B6" s="33" t="s">
        <v>177</v>
      </c>
    </row>
    <row r="7" customFormat="false" ht="15" hidden="false" customHeight="false" outlineLevel="0" collapsed="false">
      <c r="A7" s="14" t="s">
        <v>178</v>
      </c>
      <c r="B7" s="33" t="s">
        <v>179</v>
      </c>
    </row>
    <row r="8" customFormat="false" ht="15" hidden="false" customHeight="false" outlineLevel="0" collapsed="false">
      <c r="A8" s="14" t="s">
        <v>180</v>
      </c>
      <c r="B8" s="33" t="s">
        <v>181</v>
      </c>
    </row>
    <row r="9" customFormat="false" ht="15" hidden="false" customHeight="false" outlineLevel="0" collapsed="false">
      <c r="A9" s="14" t="s">
        <v>182</v>
      </c>
      <c r="B9" s="33" t="s">
        <v>22</v>
      </c>
    </row>
    <row r="10" customFormat="false" ht="15" hidden="false" customHeight="false" outlineLevel="0" collapsed="false">
      <c r="A10" s="14" t="s">
        <v>183</v>
      </c>
      <c r="B10" s="33" t="s">
        <v>184</v>
      </c>
    </row>
    <row r="11" customFormat="false" ht="15" hidden="false" customHeight="false" outlineLevel="0" collapsed="false">
      <c r="A11" s="14" t="s">
        <v>185</v>
      </c>
      <c r="B11" s="33" t="s">
        <v>186</v>
      </c>
    </row>
    <row r="12" customFormat="false" ht="15" hidden="false" customHeight="false" outlineLevel="0" collapsed="false">
      <c r="A12" s="14" t="s">
        <v>187</v>
      </c>
      <c r="B12" s="33" t="s">
        <v>188</v>
      </c>
    </row>
    <row r="13" customFormat="false" ht="15" hidden="false" customHeight="false" outlineLevel="0" collapsed="false">
      <c r="A13" s="14" t="s">
        <v>189</v>
      </c>
      <c r="B13" s="33" t="s">
        <v>190</v>
      </c>
    </row>
    <row r="14" customFormat="false" ht="15" hidden="false" customHeight="false" outlineLevel="0" collapsed="false">
      <c r="A14" s="14" t="s">
        <v>191</v>
      </c>
      <c r="B14" s="33" t="s">
        <v>192</v>
      </c>
    </row>
    <row r="15" customFormat="false" ht="15" hidden="false" customHeight="false" outlineLevel="0" collapsed="false">
      <c r="A15" s="14" t="s">
        <v>193</v>
      </c>
      <c r="B15" s="33" t="s">
        <v>194</v>
      </c>
    </row>
    <row r="16" customFormat="false" ht="23.85" hidden="false" customHeight="false" outlineLevel="0" collapsed="false">
      <c r="A16" s="14" t="s">
        <v>195</v>
      </c>
      <c r="B16" s="33" t="s">
        <v>196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2026-07-10T11:39:52Z</dcterms:created>
  <dc:creator>openpyxl</dc:creator>
  <dc:description/>
  <dc:language>en-US</dc:language>
  <cp:lastModifiedBy/>
  <dcterms:modified xsi:type="dcterms:W3CDTF">2026-07-10T11:40:06Z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