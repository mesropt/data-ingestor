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Demographics" sheetId="2" state="visible" r:id="rId4"/>
    <sheet name="Results" sheetId="3" state="visible" r:id="rId5"/>
    <sheet name="Culture &amp; Sensitivity" sheetId="4" state="visible" r:id="rId6"/>
    <sheet name="Reference Ranges" sheetId="5" state="visible" r:id="rId7"/>
    <sheet name="Historical Trend" sheetId="6" state="visible" r:id="rId8"/>
    <sheet name="Result Visualization" sheetId="7" state="visible" r:id="rId9"/>
    <sheet name="Quality Control" sheetId="8" state="visible" r:id="rId10"/>
    <sheet name="Methodology &amp; 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<sst xmlns="http://schemas.openxmlformats.org/spreadsheetml/2006/main" count="273" uniqueCount="187">
  <si>
    <t xml:space="preserve">LABORATORY REPORT</t>
  </si>
  <si>
    <t xml:space="preserve">CLIA #: 33D1445902</t>
  </si>
  <si>
    <t xml:space="preserve">Denver, CO 80202</t>
  </si>
  <si>
    <t xml:space="preserve">  Urinalysis, Complete with Reflex Culture</t>
  </si>
  <si>
    <t xml:space="preserve">Patient Name</t>
  </si>
  <si>
    <t xml:space="preserve">LEE, Patricia</t>
  </si>
  <si>
    <t xml:space="preserve">Accession #</t>
  </si>
  <si>
    <t xml:space="preserve">EQ-2026-260868</t>
  </si>
  <si>
    <t xml:space="preserve">MRN</t>
  </si>
  <si>
    <t xml:space="preserve">4516977</t>
  </si>
  <si>
    <t xml:space="preserve">Collected</t>
  </si>
  <si>
    <t xml:space="preserve">05/05/2026</t>
  </si>
  <si>
    <t xml:space="preserve">DOB</t>
  </si>
  <si>
    <t xml:space="preserve">06/02/2003</t>
  </si>
  <si>
    <t xml:space="preserve">Received</t>
  </si>
  <si>
    <t xml:space="preserve">Age / Sex</t>
  </si>
  <si>
    <t xml:space="preserve">23 / F</t>
  </si>
  <si>
    <t xml:space="preserve">Reported</t>
  </si>
  <si>
    <t xml:space="preserve">05/08/2026</t>
  </si>
  <si>
    <t xml:space="preserve">Ordering Provider</t>
  </si>
  <si>
    <t xml:space="preserve">David M. Klein, MD</t>
  </si>
  <si>
    <t xml:space="preserve">Specimen</t>
  </si>
  <si>
    <t xml:space="preserve">Urine, Clean Catch Midstream</t>
  </si>
  <si>
    <t xml:space="preserve">  Abnormal Findings Summary (5)</t>
  </si>
  <si>
    <t xml:space="preserve">Analyte</t>
  </si>
  <si>
    <t xml:space="preserve">Result</t>
  </si>
  <si>
    <t xml:space="preserve">Flag</t>
  </si>
  <si>
    <t xml:space="preserve">Reference</t>
  </si>
  <si>
    <t xml:space="preserve">pH</t>
  </si>
  <si>
    <t xml:space="preserve">2.4 </t>
  </si>
  <si>
    <t xml:space="preserve">LL</t>
  </si>
  <si>
    <t xml:space="preserve">4.5 - 8.0</t>
  </si>
  <si>
    <t xml:space="preserve">Color</t>
  </si>
  <si>
    <t xml:space="preserve">Amber</t>
  </si>
  <si>
    <t xml:space="preserve">Abnormal</t>
  </si>
  <si>
    <t xml:space="preserve">Blood</t>
  </si>
  <si>
    <t xml:space="preserve">Trace</t>
  </si>
  <si>
    <t xml:space="preserve">Nitrite</t>
  </si>
  <si>
    <t xml:space="preserve">Positive</t>
  </si>
  <si>
    <t xml:space="preserve">Bilirubin</t>
  </si>
  <si>
    <t xml:space="preserve">Small</t>
  </si>
  <si>
    <t xml:space="preserve">This report is electronically verified. Results apply only to the specimen received. See Methodology sheet for assay details and limitations.</t>
  </si>
  <si>
    <t xml:space="preserve">Laboratory Director: Alan M. Ross, MD, PhD,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</si>
  <si>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</si>
  <si>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</si>
  <si>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</si>
  <si>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</si>
  <si>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</si>
  <si>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</si>
  <si>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1173767778</t>
  </si>
  <si>
    <t xml:space="preserve">Age</t>
  </si>
  <si>
    <t xml:space="preserve">23</t>
  </si>
  <si>
    <t xml:space="preserve">Specimen Type</t>
  </si>
  <si>
    <t xml:space="preserve">Sex</t>
  </si>
  <si>
    <t xml:space="preserve">F</t>
  </si>
  <si>
    <t xml:space="preserve">Address</t>
  </si>
  <si>
    <t xml:space="preserve">5605 Birch St</t>
  </si>
  <si>
    <t xml:space="preserve">City/State/ZIP</t>
  </si>
  <si>
    <t xml:space="preserve">Denver, CO 80217</t>
  </si>
  <si>
    <t xml:space="preserve">Phone</t>
  </si>
  <si>
    <t xml:space="preserve">(917) 987-3472</t>
  </si>
  <si>
    <t xml:space="preserve">Priority</t>
  </si>
  <si>
    <t xml:space="preserve">Routine</t>
  </si>
  <si>
    <t xml:space="preserve">Fasting Status</t>
  </si>
  <si>
    <t xml:space="preserve">Yes</t>
  </si>
  <si>
    <t xml:space="preserve">  Urinalysis, Complete with Reflex Culture — Quantitative Results</t>
  </si>
  <si>
    <t xml:space="preserve">Test / Analyte</t>
  </si>
  <si>
    <t xml:space="preserve">Units</t>
  </si>
  <si>
    <t xml:space="preserve">Reference Interval</t>
  </si>
  <si>
    <t xml:space="preserve">Specific Gravity</t>
  </si>
  <si>
    <t xml:space="preserve">1.005 - 1.030</t>
  </si>
  <si>
    <t xml:space="preserve">Urobilinogen</t>
  </si>
  <si>
    <t xml:space="preserve">mg/dL</t>
  </si>
  <si>
    <t xml:space="preserve">0.2 - 1.0</t>
  </si>
  <si>
    <t xml:space="preserve">WBC (microscopic)</t>
  </si>
  <si>
    <t xml:space="preserve">/hpf</t>
  </si>
  <si>
    <t xml:space="preserve">0 - 5</t>
  </si>
  <si>
    <t xml:space="preserve">RBC (microscopic)</t>
  </si>
  <si>
    <t xml:space="preserve">0 - 3</t>
  </si>
  <si>
    <t xml:space="preserve">Epithelial Cells</t>
  </si>
  <si>
    <t xml:space="preserve">Hyaline Casts</t>
  </si>
  <si>
    <t xml:space="preserve">/lpf</t>
  </si>
  <si>
    <t xml:space="preserve">0 - 2</t>
  </si>
  <si>
    <t xml:space="preserve">  Qualitative / Observations</t>
  </si>
  <si>
    <t xml:space="preserve">Parameter</t>
  </si>
  <si>
    <t xml:space="preserve">Interpretation</t>
  </si>
  <si>
    <t xml:space="preserve">Appearance</t>
  </si>
  <si>
    <t xml:space="preserve">Clear</t>
  </si>
  <si>
    <t xml:space="preserve">Within normal limits</t>
  </si>
  <si>
    <t xml:space="preserve">Protein</t>
  </si>
  <si>
    <t xml:space="preserve">Negative</t>
  </si>
  <si>
    <t xml:space="preserve">Glucose</t>
  </si>
  <si>
    <t xml:space="preserve">Ketones</t>
  </si>
  <si>
    <t xml:space="preserve">Leukocyte Esterase</t>
  </si>
  <si>
    <t xml:space="preserve">Bacteria</t>
  </si>
  <si>
    <t xml:space="preserve">None Seen</t>
  </si>
  <si>
    <t xml:space="preserve">  Urine Culture</t>
  </si>
  <si>
    <t xml:space="preserve">Organism Isolated</t>
  </si>
  <si>
    <t xml:space="preserve">Proteus mirabilis</t>
  </si>
  <si>
    <t xml:space="preserve">Colony Count</t>
  </si>
  <si>
    <t xml:space="preserve">&gt;100,000 CFU/mL</t>
  </si>
  <si>
    <t xml:space="preserve">Antimicrobial Susceptibility (MIC)</t>
  </si>
  <si>
    <t xml:space="preserve">Antibiotic</t>
  </si>
  <si>
    <t xml:space="preserve">MIC (ug/mL)</t>
  </si>
  <si>
    <t xml:space="preserve">Ampicillin</t>
  </si>
  <si>
    <t xml:space="preserve">&gt;=16</t>
  </si>
  <si>
    <t xml:space="preserve">Susceptible</t>
  </si>
  <si>
    <t xml:space="preserve">Ciprofloxacin</t>
  </si>
  <si>
    <t xml:space="preserve">Nitrofurantoin</t>
  </si>
  <si>
    <t xml:space="preserve">2</t>
  </si>
  <si>
    <t xml:space="preserve">TMP/SMX</t>
  </si>
  <si>
    <t xml:space="preserve">8</t>
  </si>
  <si>
    <t xml:space="preserve">Ceftriaxone</t>
  </si>
  <si>
    <t xml:space="preserve">0.5</t>
  </si>
  <si>
    <t xml:space="preserve">Intermediate</t>
  </si>
  <si>
    <t xml:space="preserve">Gentamicin</t>
  </si>
  <si>
    <t xml:space="preserve">Meropenem</t>
  </si>
  <si>
    <t xml:space="preserve">  Reference Intervals &amp; Methodology</t>
  </si>
  <si>
    <t xml:space="preserve">LOINC</t>
  </si>
  <si>
    <t xml:space="preserve">Low</t>
  </si>
  <si>
    <t xml:space="preserve">High</t>
  </si>
  <si>
    <t xml:space="preserve">Method</t>
  </si>
  <si>
    <t xml:space="preserve">5811-5</t>
  </si>
  <si>
    <t xml:space="preserve">Refractometry</t>
  </si>
  <si>
    <t xml:space="preserve">5803-2</t>
  </si>
  <si>
    <t xml:space="preserve">Reagent strip</t>
  </si>
  <si>
    <t xml:space="preserve">3137-7</t>
  </si>
  <si>
    <t xml:space="preserve">5821-4</t>
  </si>
  <si>
    <t xml:space="preserve">Microscopy</t>
  </si>
  <si>
    <t xml:space="preserve">5808-1</t>
  </si>
  <si>
    <t xml:space="preserve">13943-6</t>
  </si>
  <si>
    <t xml:space="preserve">13518-6</t>
  </si>
  <si>
    <t xml:space="preserve">  Historical Trend — WBC (microscopic)</t>
  </si>
  <si>
    <t xml:space="preserve">Date</t>
  </si>
  <si>
    <t xml:space="preserve">Ref Low</t>
  </si>
  <si>
    <t xml:space="preserve">Ref High</t>
  </si>
  <si>
    <t xml:space="preserve">2025-02-12</t>
  </si>
  <si>
    <t xml:space="preserve">2025-05-13</t>
  </si>
  <si>
    <t xml:space="preserve">2025-08-11</t>
  </si>
  <si>
    <t xml:space="preserve">2025-11-09</t>
  </si>
  <si>
    <t xml:space="preserve">2026-02-07</t>
  </si>
  <si>
    <t xml:space="preserve">2026-05-08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</si>
  <si>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</si>
  <si>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</si>
  <si>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</si>
  <si>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</si>
  <si>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</si>
  <si>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</si>
  <si>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</si>
  <si>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</si>
  <si>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</si>
  <si>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</si>
  <si>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</si>
  <si>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</si>
  <si>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</si>
  <si>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</si>
  <si>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</si>
  <si>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</si>
  <si>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Alan M. Ross, MD, PhD, FCAP</t>
  </si>
  <si>
    <t xml:space="preserve">  Methodology, Instrumentation &amp; Disclaimers</t>
  </si>
  <si>
    <t xml:space="preserve">Testing Laboratory</t>
  </si>
  <si>
    <t xml:space="preserve">Equinox BioLabs, Denver, CO 80202</t>
  </si>
  <si>
    <t xml:space="preserve">CLIA Certificate</t>
  </si>
  <si>
    <t xml:space="preserve">33D1445902</t>
  </si>
  <si>
    <t xml:space="preserve">Laboratory Director</t>
  </si>
  <si>
    <t xml:space="preserve">Alan M. Ross, MD, PhD, FCAP</t>
  </si>
  <si>
    <t xml:space="preserve">Primary Instrument</t>
  </si>
  <si>
    <t xml:space="preserve">Sysmex UF-5000 + Clinitek Novus</t>
  </si>
  <si>
    <t xml:space="preserve">Accreditation</t>
  </si>
  <si>
    <t xml:space="preserve">CAP / CLIA '88 accredited</t>
  </si>
  <si>
    <t xml:space="preserve">Panel</t>
  </si>
  <si>
    <t xml:space="preserve">Urinalysis, Complete with Reflex Culture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</si>
  <si>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</si>
  <si>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</si>
  <si>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</si>
  <si>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</si>
  <si>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</si>
  <si>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</si>
  <si>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</si>
  <si>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</si>
  <si>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</si>
  <si>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</si>
  <si>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</si>
  <si>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</si>
  <si>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Alan M. Ross, MD, PhD,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</si>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</sst>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8860B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8B650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8B6508"/>
      <name val="Arial"/>
      <family val="0"/>
      <charset val="1"/>
    </font>
    <font>
      <b val="true"/>
      <sz val="11"/>
      <color rgb="FFB8860B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8860B"/>
        <bgColor rgb="FF8B6508"/>
      </patternFill>
    </fill>
    <fill>
      <patternFill patternType="solid">
        <fgColor rgb="FF8B6508"/>
        <bgColor rgb="FFB8860B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508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B8860B"/>
      <rgbColor rgb="FFFF6600"/>
      <rgbColor rgb="FF666666"/>
      <rgbColor rgb="FF888888"/>
      <rgbColor rgb="FF003366"/>
      <rgbColor rgb="FF2E7D32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WBC (microscopic) (/hpf)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2025-02-12</c:v>
                </c:pt>
                <c:pt idx="1">
                  <c:v>2025-05-13</c:v>
                </c:pt>
                <c:pt idx="2">
                  <c:v>2025-08-11</c:v>
                </c:pt>
                <c:pt idx="3">
                  <c:v>2025-11-09</c:v>
                </c:pt>
                <c:pt idx="4">
                  <c:v>2026-02-07</c:v>
                </c:pt>
                <c:pt idx="5">
                  <c:v>2026-05-08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2.5</c:v>
                </c:pt>
                <c:pt idx="1">
                  <c:v>1.9</c:v>
                </c:pt>
                <c:pt idx="2">
                  <c:v>2.3</c:v>
                </c:pt>
                <c:pt idx="3">
                  <c:v>2.1</c:v>
                </c:pt>
                <c:pt idx="4">
                  <c:v>1.9</c:v>
                </c:pt>
                <c:pt idx="5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2025-02-12</c:v>
                </c:pt>
                <c:pt idx="1">
                  <c:v>2025-05-13</c:v>
                </c:pt>
                <c:pt idx="2">
                  <c:v>2025-08-11</c:v>
                </c:pt>
                <c:pt idx="3">
                  <c:v>2025-11-09</c:v>
                </c:pt>
                <c:pt idx="4">
                  <c:v>2026-02-07</c:v>
                </c:pt>
                <c:pt idx="5">
                  <c:v>2026-05-08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2025-02-12</c:v>
                </c:pt>
                <c:pt idx="1">
                  <c:v>2025-05-13</c:v>
                </c:pt>
                <c:pt idx="2">
                  <c:v>2025-08-11</c:v>
                </c:pt>
                <c:pt idx="3">
                  <c:v>2025-11-09</c:v>
                </c:pt>
                <c:pt idx="4">
                  <c:v>2026-02-07</c:v>
                </c:pt>
                <c:pt idx="5">
                  <c:v>2026-05-08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151391"/>
        <c:axId val="45571259"/>
      </c:lineChart>
      <c:catAx>
        <c:axId val="541513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71259"/>
        <c:crosses val="autoZero"/>
        <c:auto val="1"/>
        <c:lblAlgn val="ctr"/>
        <c:lblOffset val="100"/>
        <c:noMultiLvlLbl val="0"/>
      </c:catAx>
      <c:valAx>
        <c:axId val="45571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/hpf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51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Visualization'!$A$23:$A$29</c:f>
              <c:strCache>
                <c:ptCount val="7"/>
                <c:pt idx="0">
                  <c:v>Specific Gravity</c:v>
                </c:pt>
                <c:pt idx="1">
                  <c:v>pH</c:v>
                </c:pt>
                <c:pt idx="2">
                  <c:v>Urobilinogen</c:v>
                </c:pt>
                <c:pt idx="3">
                  <c:v>WBC (microscopic)</c:v>
                </c:pt>
                <c:pt idx="4">
                  <c:v>RBC (microscopic)</c:v>
                </c:pt>
                <c:pt idx="5">
                  <c:v>Epithelial Cells</c:v>
                </c:pt>
                <c:pt idx="6">
                  <c:v>Hyaline Casts</c:v>
                </c:pt>
              </c:strCache>
            </c:strRef>
          </c:cat>
          <c:val>
            <c:numRef>
              <c:f>'Result Visualization'!$B$23:$B$29</c:f>
              <c:numCache>
                <c:formatCode>General</c:formatCode>
                <c:ptCount val="7"/>
                <c:pt idx="0">
                  <c:v>1.023</c:v>
                </c:pt>
                <c:pt idx="1">
                  <c:v>2.4</c:v>
                </c:pt>
                <c:pt idx="2">
                  <c:v>0.6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Visualization'!$A$23:$A$29</c:f>
              <c:strCache>
                <c:ptCount val="7"/>
                <c:pt idx="0">
                  <c:v>Specific Gravity</c:v>
                </c:pt>
                <c:pt idx="1">
                  <c:v>pH</c:v>
                </c:pt>
                <c:pt idx="2">
                  <c:v>Urobilinogen</c:v>
                </c:pt>
                <c:pt idx="3">
                  <c:v>WBC (microscopic)</c:v>
                </c:pt>
                <c:pt idx="4">
                  <c:v>RBC (microscopic)</c:v>
                </c:pt>
                <c:pt idx="5">
                  <c:v>Epithelial Cells</c:v>
                </c:pt>
                <c:pt idx="6">
                  <c:v>Hyaline Casts</c:v>
                </c:pt>
              </c:strCache>
            </c:strRef>
          </c:cat>
          <c:val>
            <c:numRef>
              <c:f>'Result Visualization'!$C$23:$C$29</c:f>
              <c:numCache>
                <c:formatCode>General</c:formatCode>
                <c:ptCount val="7"/>
                <c:pt idx="0">
                  <c:v>1.03</c:v>
                </c:pt>
                <c:pt idx="1">
                  <c:v>8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</c:ser>
        <c:gapWidth val="150"/>
        <c:overlap val="0"/>
        <c:axId val="49024539"/>
        <c:axId val="39988717"/>
      </c:barChart>
      <c:catAx>
        <c:axId val="49024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88717"/>
        <c:crosses val="autoZero"/>
        <c:auto val="1"/>
        <c:lblAlgn val="ctr"/>
        <c:lblOffset val="100"/>
        <c:noMultiLvlLbl val="0"/>
      </c:catAx>
      <c:valAx>
        <c:axId val="39988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24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10" t="s">
        <v>32</v>
      </c>
      <c r="B17" s="10"/>
      <c r="C17" s="10"/>
      <c r="D17" s="10" t="s">
        <v>33</v>
      </c>
      <c r="E17" s="10"/>
      <c r="F17" s="10" t="s">
        <v>34</v>
      </c>
      <c r="G17" s="10"/>
      <c r="H17" s="10"/>
    </row>
    <row r="18" customFormat="false" ht="15" hidden="false" customHeight="false" outlineLevel="0" collapsed="false">
      <c r="A18" s="10" t="s">
        <v>35</v>
      </c>
      <c r="B18" s="10"/>
      <c r="C18" s="10"/>
      <c r="D18" s="10" t="s">
        <v>36</v>
      </c>
      <c r="E18" s="10"/>
      <c r="F18" s="10" t="s">
        <v>34</v>
      </c>
      <c r="G18" s="10"/>
      <c r="H18" s="10"/>
    </row>
    <row r="19" customFormat="false" ht="15" hidden="false" customHeight="false" outlineLevel="0" collapsed="false">
      <c r="A19" s="10" t="s">
        <v>37</v>
      </c>
      <c r="B19" s="10"/>
      <c r="C19" s="10"/>
      <c r="D19" s="10" t="s">
        <v>38</v>
      </c>
      <c r="E19" s="10"/>
      <c r="F19" s="10" t="s">
        <v>34</v>
      </c>
      <c r="G19" s="10"/>
      <c r="H19" s="10"/>
    </row>
    <row r="20" customFormat="false" ht="15" hidden="false" customHeight="false" outlineLevel="0" collapsed="false">
      <c r="A20" s="10" t="s">
        <v>39</v>
      </c>
      <c r="B20" s="10"/>
      <c r="C20" s="10"/>
      <c r="D20" s="10" t="s">
        <v>40</v>
      </c>
      <c r="E20" s="10"/>
      <c r="F20" s="10" t="s">
        <v>34</v>
      </c>
      <c r="G20" s="10"/>
      <c r="H20" s="10"/>
    </row>
    <row r="22" customFormat="false" ht="15" hidden="false" customHeight="false" outlineLevel="0" collapsed="false">
      <c r="A22" s="11" t="s">
        <v>41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5" customFormat="false" ht="15" hidden="false" customHeight="false" outlineLevel="0" collapsed="false">
      <c r="A25" s="12" t="s">
        <v>42</v>
      </c>
    </row>
  </sheetData>
  <mergeCells count="3">
    <mergeCell ref="A6:H6"/>
    <mergeCell ref="A14:H14"/>
    <mergeCell ref="A22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3" t="s">
        <v>43</v>
      </c>
      <c r="B1" s="13"/>
      <c r="D1" s="13" t="s">
        <v>44</v>
      </c>
      <c r="E1" s="13"/>
    </row>
    <row r="2" customFormat="false" ht="15" hidden="false" customHeight="false" outlineLevel="0" collapsed="false">
      <c r="A2" s="14" t="s">
        <v>45</v>
      </c>
      <c r="B2" s="15" t="s">
        <v>5</v>
      </c>
      <c r="D2" s="14" t="s">
        <v>6</v>
      </c>
      <c r="E2" s="15" t="s">
        <v>7</v>
      </c>
    </row>
    <row r="3" customFormat="false" ht="15" hidden="false" customHeight="false" outlineLevel="0" collapsed="false">
      <c r="A3" s="14" t="s">
        <v>46</v>
      </c>
      <c r="B3" s="15" t="s">
        <v>9</v>
      </c>
      <c r="D3" s="14" t="s">
        <v>19</v>
      </c>
      <c r="E3" s="15" t="s">
        <v>20</v>
      </c>
    </row>
    <row r="4" customFormat="false" ht="15" hidden="false" customHeight="false" outlineLevel="0" collapsed="false">
      <c r="A4" s="14" t="s">
        <v>47</v>
      </c>
      <c r="B4" s="15" t="s">
        <v>13</v>
      </c>
      <c r="D4" s="14" t="s">
        <v>48</v>
      </c>
      <c r="E4" s="15" t="s">
        <v>49</v>
      </c>
    </row>
    <row r="5" customFormat="false" ht="15" hidden="false" customHeight="false" outlineLevel="0" collapsed="false">
      <c r="A5" s="14" t="s">
        <v>50</v>
      </c>
      <c r="B5" s="15" t="s">
        <v>51</v>
      </c>
      <c r="D5" s="14" t="s">
        <v>52</v>
      </c>
      <c r="E5" s="15" t="s">
        <v>22</v>
      </c>
    </row>
    <row r="6" customFormat="false" ht="15" hidden="false" customHeight="false" outlineLevel="0" collapsed="false">
      <c r="A6" s="14" t="s">
        <v>53</v>
      </c>
      <c r="B6" s="15" t="s">
        <v>54</v>
      </c>
      <c r="D6" s="14" t="s">
        <v>10</v>
      </c>
      <c r="E6" s="15" t="s">
        <v>11</v>
      </c>
    </row>
    <row r="7" customFormat="false" ht="15" hidden="false" customHeight="false" outlineLevel="0" collapsed="false">
      <c r="A7" s="14" t="s">
        <v>55</v>
      </c>
      <c r="B7" s="15" t="s">
        <v>56</v>
      </c>
      <c r="D7" s="14" t="s">
        <v>14</v>
      </c>
      <c r="E7" s="15" t="s">
        <v>11</v>
      </c>
    </row>
    <row r="8" customFormat="false" ht="15" hidden="false" customHeight="false" outlineLevel="0" collapsed="false">
      <c r="A8" s="14" t="s">
        <v>57</v>
      </c>
      <c r="B8" s="15" t="s">
        <v>58</v>
      </c>
      <c r="D8" s="14" t="s">
        <v>17</v>
      </c>
      <c r="E8" s="15" t="s">
        <v>18</v>
      </c>
    </row>
    <row r="9" customFormat="false" ht="15" hidden="false" customHeight="false" outlineLevel="0" collapsed="false">
      <c r="A9" s="14" t="s">
        <v>59</v>
      </c>
      <c r="B9" s="15" t="s">
        <v>60</v>
      </c>
      <c r="D9" s="14" t="s">
        <v>61</v>
      </c>
      <c r="E9" s="15" t="s">
        <v>62</v>
      </c>
    </row>
    <row r="10" customFormat="false" ht="15" hidden="false" customHeight="false" outlineLevel="0" collapsed="false">
      <c r="A10" s="16"/>
      <c r="B10" s="16"/>
      <c r="D10" s="14" t="s">
        <v>63</v>
      </c>
      <c r="E10" s="15" t="s">
        <v>64</v>
      </c>
    </row>
    <row r="11" customFormat="false" ht="15" hidden="false" customHeight="false" outlineLevel="0" collapsed="false">
      <c r="A11" s="16"/>
      <c r="B11" s="16"/>
      <c r="D11" s="16"/>
      <c r="E11" s="16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9.5" hidden="false" customHeight="true" outlineLevel="0" collapsed="false">
      <c r="A1" s="17" t="s">
        <v>65</v>
      </c>
      <c r="B1" s="17"/>
      <c r="C1" s="17"/>
      <c r="D1" s="17"/>
      <c r="E1" s="17"/>
    </row>
    <row r="3" customFormat="false" ht="15" hidden="false" customHeight="false" outlineLevel="0" collapsed="false">
      <c r="A3" s="18" t="s">
        <v>66</v>
      </c>
      <c r="B3" s="18" t="s">
        <v>25</v>
      </c>
      <c r="C3" s="18" t="s">
        <v>67</v>
      </c>
      <c r="D3" s="18" t="s">
        <v>68</v>
      </c>
      <c r="E3" s="18" t="s">
        <v>26</v>
      </c>
    </row>
    <row r="4" customFormat="false" ht="15" hidden="false" customHeight="false" outlineLevel="0" collapsed="false">
      <c r="A4" s="15" t="s">
        <v>69</v>
      </c>
      <c r="B4" s="19" t="n">
        <v>1.023</v>
      </c>
      <c r="C4" s="15"/>
      <c r="D4" s="15" t="s">
        <v>70</v>
      </c>
      <c r="E4" s="19"/>
    </row>
    <row r="5" customFormat="false" ht="15" hidden="false" customHeight="false" outlineLevel="0" collapsed="false">
      <c r="A5" s="20" t="s">
        <v>28</v>
      </c>
      <c r="B5" s="21" t="n">
        <v>2.4</v>
      </c>
      <c r="C5" s="20"/>
      <c r="D5" s="20" t="s">
        <v>31</v>
      </c>
      <c r="E5" s="22" t="s">
        <v>30</v>
      </c>
    </row>
    <row r="6" customFormat="false" ht="15" hidden="false" customHeight="false" outlineLevel="0" collapsed="false">
      <c r="A6" s="15" t="s">
        <v>71</v>
      </c>
      <c r="B6" s="19" t="n">
        <v>0.6</v>
      </c>
      <c r="C6" s="15" t="s">
        <v>72</v>
      </c>
      <c r="D6" s="15" t="s">
        <v>73</v>
      </c>
      <c r="E6" s="19"/>
    </row>
    <row r="7" customFormat="false" ht="15" hidden="false" customHeight="false" outlineLevel="0" collapsed="false">
      <c r="A7" s="15" t="s">
        <v>74</v>
      </c>
      <c r="B7" s="19" t="n">
        <v>2</v>
      </c>
      <c r="C7" s="15" t="s">
        <v>75</v>
      </c>
      <c r="D7" s="15" t="s">
        <v>76</v>
      </c>
      <c r="E7" s="19"/>
    </row>
    <row r="8" customFormat="false" ht="15" hidden="false" customHeight="false" outlineLevel="0" collapsed="false">
      <c r="A8" s="15" t="s">
        <v>77</v>
      </c>
      <c r="B8" s="19" t="n">
        <v>2</v>
      </c>
      <c r="C8" s="15" t="s">
        <v>75</v>
      </c>
      <c r="D8" s="15" t="s">
        <v>78</v>
      </c>
      <c r="E8" s="19"/>
    </row>
    <row r="9" customFormat="false" ht="15" hidden="false" customHeight="false" outlineLevel="0" collapsed="false">
      <c r="A9" s="15" t="s">
        <v>79</v>
      </c>
      <c r="B9" s="19" t="n">
        <v>2</v>
      </c>
      <c r="C9" s="15" t="s">
        <v>75</v>
      </c>
      <c r="D9" s="15" t="s">
        <v>76</v>
      </c>
      <c r="E9" s="19"/>
    </row>
    <row r="10" customFormat="false" ht="15" hidden="false" customHeight="false" outlineLevel="0" collapsed="false">
      <c r="A10" s="15" t="s">
        <v>80</v>
      </c>
      <c r="B10" s="19" t="n">
        <v>1</v>
      </c>
      <c r="C10" s="15" t="s">
        <v>81</v>
      </c>
      <c r="D10" s="15" t="s">
        <v>82</v>
      </c>
      <c r="E10" s="19"/>
    </row>
    <row r="12" customFormat="false" ht="15" hidden="false" customHeight="false" outlineLevel="0" collapsed="false">
      <c r="A12" s="23" t="s">
        <v>83</v>
      </c>
      <c r="B12" s="23"/>
      <c r="C12" s="23"/>
      <c r="D12" s="23"/>
      <c r="E12" s="23"/>
    </row>
    <row r="13" customFormat="false" ht="15" hidden="false" customHeight="false" outlineLevel="0" collapsed="false">
      <c r="A13" s="24" t="s">
        <v>84</v>
      </c>
      <c r="B13" s="24" t="s">
        <v>25</v>
      </c>
      <c r="C13" s="24" t="s">
        <v>85</v>
      </c>
    </row>
    <row r="14" customFormat="false" ht="15" hidden="false" customHeight="false" outlineLevel="0" collapsed="false">
      <c r="A14" s="25" t="s">
        <v>32</v>
      </c>
      <c r="B14" s="25" t="s">
        <v>33</v>
      </c>
      <c r="C14" s="25" t="s">
        <v>34</v>
      </c>
    </row>
    <row r="15" customFormat="false" ht="15" hidden="false" customHeight="false" outlineLevel="0" collapsed="false">
      <c r="A15" s="16" t="s">
        <v>86</v>
      </c>
      <c r="B15" s="16" t="s">
        <v>87</v>
      </c>
      <c r="C15" s="16" t="s">
        <v>88</v>
      </c>
    </row>
    <row r="16" customFormat="false" ht="15" hidden="false" customHeight="false" outlineLevel="0" collapsed="false">
      <c r="A16" s="16" t="s">
        <v>89</v>
      </c>
      <c r="B16" s="16" t="s">
        <v>90</v>
      </c>
      <c r="C16" s="16" t="s">
        <v>88</v>
      </c>
    </row>
    <row r="17" customFormat="false" ht="15" hidden="false" customHeight="false" outlineLevel="0" collapsed="false">
      <c r="A17" s="16" t="s">
        <v>91</v>
      </c>
      <c r="B17" s="16" t="s">
        <v>90</v>
      </c>
      <c r="C17" s="16" t="s">
        <v>88</v>
      </c>
    </row>
    <row r="18" customFormat="false" ht="15" hidden="false" customHeight="false" outlineLevel="0" collapsed="false">
      <c r="A18" s="16" t="s">
        <v>92</v>
      </c>
      <c r="B18" s="16" t="s">
        <v>90</v>
      </c>
      <c r="C18" s="16" t="s">
        <v>88</v>
      </c>
    </row>
    <row r="19" customFormat="false" ht="15" hidden="false" customHeight="false" outlineLevel="0" collapsed="false">
      <c r="A19" s="25" t="s">
        <v>35</v>
      </c>
      <c r="B19" s="25" t="s">
        <v>36</v>
      </c>
      <c r="C19" s="25" t="s">
        <v>34</v>
      </c>
    </row>
    <row r="20" customFormat="false" ht="15" hidden="false" customHeight="false" outlineLevel="0" collapsed="false">
      <c r="A20" s="25" t="s">
        <v>37</v>
      </c>
      <c r="B20" s="25" t="s">
        <v>38</v>
      </c>
      <c r="C20" s="25" t="s">
        <v>34</v>
      </c>
    </row>
    <row r="21" customFormat="false" ht="15" hidden="false" customHeight="false" outlineLevel="0" collapsed="false">
      <c r="A21" s="16" t="s">
        <v>93</v>
      </c>
      <c r="B21" s="16" t="s">
        <v>90</v>
      </c>
      <c r="C21" s="16" t="s">
        <v>88</v>
      </c>
    </row>
    <row r="22" customFormat="false" ht="15" hidden="false" customHeight="false" outlineLevel="0" collapsed="false">
      <c r="A22" s="25" t="s">
        <v>39</v>
      </c>
      <c r="B22" s="25" t="s">
        <v>40</v>
      </c>
      <c r="C22" s="25" t="s">
        <v>34</v>
      </c>
    </row>
    <row r="23" customFormat="false" ht="15" hidden="false" customHeight="false" outlineLevel="0" collapsed="false">
      <c r="A23" s="16" t="s">
        <v>94</v>
      </c>
      <c r="B23" s="16" t="s">
        <v>95</v>
      </c>
      <c r="C23" s="16" t="s">
        <v>88</v>
      </c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7" t="s">
        <v>96</v>
      </c>
      <c r="B1" s="17"/>
      <c r="C1" s="17"/>
      <c r="D1" s="17"/>
      <c r="E1" s="17"/>
    </row>
    <row r="3" customFormat="false" ht="15" hidden="false" customHeight="false" outlineLevel="0" collapsed="false">
      <c r="A3" s="26" t="s">
        <v>97</v>
      </c>
      <c r="B3" s="27" t="s">
        <v>98</v>
      </c>
    </row>
    <row r="4" customFormat="false" ht="15" hidden="false" customHeight="false" outlineLevel="0" collapsed="false">
      <c r="A4" s="26" t="s">
        <v>99</v>
      </c>
      <c r="B4" s="27" t="s">
        <v>100</v>
      </c>
    </row>
    <row r="6" customFormat="false" ht="15" hidden="false" customHeight="false" outlineLevel="0" collapsed="false">
      <c r="A6" s="28" t="s">
        <v>101</v>
      </c>
    </row>
    <row r="7" customFormat="false" ht="15" hidden="false" customHeight="false" outlineLevel="0" collapsed="false">
      <c r="A7" s="24" t="s">
        <v>102</v>
      </c>
      <c r="B7" s="24" t="s">
        <v>103</v>
      </c>
      <c r="C7" s="24" t="s">
        <v>85</v>
      </c>
    </row>
    <row r="8" customFormat="false" ht="15" hidden="false" customHeight="false" outlineLevel="0" collapsed="false">
      <c r="A8" s="16" t="s">
        <v>104</v>
      </c>
      <c r="B8" s="16" t="s">
        <v>105</v>
      </c>
      <c r="C8" s="16" t="s">
        <v>106</v>
      </c>
    </row>
    <row r="9" customFormat="false" ht="15" hidden="false" customHeight="false" outlineLevel="0" collapsed="false">
      <c r="A9" s="16" t="s">
        <v>107</v>
      </c>
      <c r="B9" s="16" t="s">
        <v>105</v>
      </c>
      <c r="C9" s="16" t="s">
        <v>106</v>
      </c>
    </row>
    <row r="10" customFormat="false" ht="15" hidden="false" customHeight="false" outlineLevel="0" collapsed="false">
      <c r="A10" s="16" t="s">
        <v>108</v>
      </c>
      <c r="B10" s="16" t="s">
        <v>109</v>
      </c>
      <c r="C10" s="16" t="s">
        <v>106</v>
      </c>
    </row>
    <row r="11" customFormat="false" ht="15" hidden="false" customHeight="false" outlineLevel="0" collapsed="false">
      <c r="A11" s="16" t="s">
        <v>110</v>
      </c>
      <c r="B11" s="16" t="s">
        <v>111</v>
      </c>
      <c r="C11" s="16" t="s">
        <v>106</v>
      </c>
    </row>
    <row r="12" customFormat="false" ht="15" hidden="false" customHeight="false" outlineLevel="0" collapsed="false">
      <c r="A12" s="25" t="s">
        <v>112</v>
      </c>
      <c r="B12" s="25" t="s">
        <v>113</v>
      </c>
      <c r="C12" s="25" t="s">
        <v>114</v>
      </c>
    </row>
    <row r="13" customFormat="false" ht="15" hidden="false" customHeight="false" outlineLevel="0" collapsed="false">
      <c r="A13" s="25" t="s">
        <v>115</v>
      </c>
      <c r="B13" s="25" t="s">
        <v>111</v>
      </c>
      <c r="C13" s="25" t="s">
        <v>114</v>
      </c>
    </row>
    <row r="14" customFormat="false" ht="15" hidden="false" customHeight="false" outlineLevel="0" collapsed="false">
      <c r="A14" s="16" t="s">
        <v>116</v>
      </c>
      <c r="B14" s="16" t="s">
        <v>113</v>
      </c>
      <c r="C14" s="16" t="s">
        <v>106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7" t="s">
        <v>117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29" t="s">
        <v>24</v>
      </c>
      <c r="B3" s="29" t="s">
        <v>118</v>
      </c>
      <c r="C3" s="29" t="s">
        <v>67</v>
      </c>
      <c r="D3" s="29" t="s">
        <v>119</v>
      </c>
      <c r="E3" s="29" t="s">
        <v>120</v>
      </c>
      <c r="F3" s="29" t="s">
        <v>121</v>
      </c>
    </row>
    <row r="4" customFormat="false" ht="15" hidden="false" customHeight="false" outlineLevel="0" collapsed="false">
      <c r="A4" s="30" t="s">
        <v>69</v>
      </c>
      <c r="B4" s="30" t="s">
        <v>122</v>
      </c>
      <c r="C4" s="30"/>
      <c r="D4" s="30" t="n">
        <v>1.005</v>
      </c>
      <c r="E4" s="30" t="n">
        <v>1.03</v>
      </c>
      <c r="F4" s="30" t="s">
        <v>123</v>
      </c>
    </row>
    <row r="5" customFormat="false" ht="15" hidden="false" customHeight="false" outlineLevel="0" collapsed="false">
      <c r="A5" s="30" t="s">
        <v>28</v>
      </c>
      <c r="B5" s="30" t="s">
        <v>124</v>
      </c>
      <c r="C5" s="30"/>
      <c r="D5" s="30" t="n">
        <v>4.5</v>
      </c>
      <c r="E5" s="30" t="n">
        <v>8</v>
      </c>
      <c r="F5" s="30" t="s">
        <v>125</v>
      </c>
    </row>
    <row r="6" customFormat="false" ht="15" hidden="false" customHeight="false" outlineLevel="0" collapsed="false">
      <c r="A6" s="30" t="s">
        <v>71</v>
      </c>
      <c r="B6" s="30" t="s">
        <v>126</v>
      </c>
      <c r="C6" s="30" t="s">
        <v>72</v>
      </c>
      <c r="D6" s="30" t="n">
        <v>0.2</v>
      </c>
      <c r="E6" s="30" t="n">
        <v>1</v>
      </c>
      <c r="F6" s="30" t="s">
        <v>125</v>
      </c>
    </row>
    <row r="7" customFormat="false" ht="15" hidden="false" customHeight="false" outlineLevel="0" collapsed="false">
      <c r="A7" s="30" t="s">
        <v>74</v>
      </c>
      <c r="B7" s="30" t="s">
        <v>127</v>
      </c>
      <c r="C7" s="30" t="s">
        <v>75</v>
      </c>
      <c r="D7" s="30" t="n">
        <v>0</v>
      </c>
      <c r="E7" s="30" t="n">
        <v>5</v>
      </c>
      <c r="F7" s="30" t="s">
        <v>128</v>
      </c>
    </row>
    <row r="8" customFormat="false" ht="15" hidden="false" customHeight="false" outlineLevel="0" collapsed="false">
      <c r="A8" s="30" t="s">
        <v>77</v>
      </c>
      <c r="B8" s="30" t="s">
        <v>129</v>
      </c>
      <c r="C8" s="30" t="s">
        <v>75</v>
      </c>
      <c r="D8" s="30" t="n">
        <v>0</v>
      </c>
      <c r="E8" s="30" t="n">
        <v>3</v>
      </c>
      <c r="F8" s="30" t="s">
        <v>128</v>
      </c>
    </row>
    <row r="9" customFormat="false" ht="15" hidden="false" customHeight="false" outlineLevel="0" collapsed="false">
      <c r="A9" s="30" t="s">
        <v>79</v>
      </c>
      <c r="B9" s="30" t="s">
        <v>130</v>
      </c>
      <c r="C9" s="30" t="s">
        <v>75</v>
      </c>
      <c r="D9" s="30" t="n">
        <v>0</v>
      </c>
      <c r="E9" s="30" t="n">
        <v>5</v>
      </c>
      <c r="F9" s="30" t="s">
        <v>128</v>
      </c>
    </row>
    <row r="10" customFormat="false" ht="15" hidden="false" customHeight="false" outlineLevel="0" collapsed="false">
      <c r="A10" s="30" t="s">
        <v>80</v>
      </c>
      <c r="B10" s="30" t="s">
        <v>131</v>
      </c>
      <c r="C10" s="30" t="s">
        <v>81</v>
      </c>
      <c r="D10" s="30" t="n">
        <v>0</v>
      </c>
      <c r="E10" s="30" t="n">
        <v>2</v>
      </c>
      <c r="F10" s="30" t="s">
        <v>128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7" t="s">
        <v>132</v>
      </c>
      <c r="B1" s="17"/>
      <c r="C1" s="17"/>
      <c r="D1" s="17"/>
    </row>
    <row r="3" customFormat="false" ht="15" hidden="false" customHeight="false" outlineLevel="0" collapsed="false">
      <c r="A3" s="24" t="s">
        <v>133</v>
      </c>
      <c r="B3" s="24" t="s">
        <v>25</v>
      </c>
      <c r="C3" s="24" t="s">
        <v>134</v>
      </c>
      <c r="D3" s="24" t="s">
        <v>135</v>
      </c>
    </row>
    <row r="4" customFormat="false" ht="15" hidden="false" customHeight="false" outlineLevel="0" collapsed="false">
      <c r="A4" s="0" t="s">
        <v>136</v>
      </c>
      <c r="B4" s="0" t="n">
        <v>2.5</v>
      </c>
      <c r="C4" s="0" t="n">
        <v>0</v>
      </c>
      <c r="D4" s="0" t="n">
        <v>5</v>
      </c>
    </row>
    <row r="5" customFormat="false" ht="15" hidden="false" customHeight="false" outlineLevel="0" collapsed="false">
      <c r="A5" s="0" t="s">
        <v>137</v>
      </c>
      <c r="B5" s="0" t="n">
        <v>1.9</v>
      </c>
      <c r="C5" s="0" t="n">
        <v>0</v>
      </c>
      <c r="D5" s="0" t="n">
        <v>5</v>
      </c>
    </row>
    <row r="6" customFormat="false" ht="15" hidden="false" customHeight="false" outlineLevel="0" collapsed="false">
      <c r="A6" s="0" t="s">
        <v>138</v>
      </c>
      <c r="B6" s="0" t="n">
        <v>2.3</v>
      </c>
      <c r="C6" s="0" t="n">
        <v>0</v>
      </c>
      <c r="D6" s="0" t="n">
        <v>5</v>
      </c>
    </row>
    <row r="7" customFormat="false" ht="15" hidden="false" customHeight="false" outlineLevel="0" collapsed="false">
      <c r="A7" s="0" t="s">
        <v>139</v>
      </c>
      <c r="B7" s="0" t="n">
        <v>2.1</v>
      </c>
      <c r="C7" s="0" t="n">
        <v>0</v>
      </c>
      <c r="D7" s="0" t="n">
        <v>5</v>
      </c>
    </row>
    <row r="8" customFormat="false" ht="15" hidden="false" customHeight="false" outlineLevel="0" collapsed="false">
      <c r="A8" s="0" t="s">
        <v>140</v>
      </c>
      <c r="B8" s="0" t="n">
        <v>1.9</v>
      </c>
      <c r="C8" s="0" t="n">
        <v>0</v>
      </c>
      <c r="D8" s="0" t="n">
        <v>5</v>
      </c>
    </row>
    <row r="9" customFormat="false" ht="15" hidden="false" customHeight="false" outlineLevel="0" collapsed="false">
      <c r="A9" s="0" t="s">
        <v>141</v>
      </c>
      <c r="B9" s="0" t="n">
        <v>2</v>
      </c>
      <c r="C9" s="0" t="n">
        <v>0</v>
      </c>
      <c r="D9" s="0" t="n">
        <v>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7" t="s">
        <v>142</v>
      </c>
      <c r="B1" s="17"/>
      <c r="C1" s="17"/>
      <c r="D1" s="17"/>
      <c r="E1" s="17"/>
      <c r="F1" s="17"/>
    </row>
    <row r="22" customFormat="false" ht="15" hidden="false" customHeight="false" outlineLevel="0" collapsed="false">
      <c r="A22" s="24" t="s">
        <v>24</v>
      </c>
      <c r="B22" s="24" t="s">
        <v>25</v>
      </c>
      <c r="C22" s="24" t="s">
        <v>135</v>
      </c>
    </row>
    <row r="23" customFormat="false" ht="15" hidden="false" customHeight="false" outlineLevel="0" collapsed="false">
      <c r="A23" s="0" t="s">
        <v>69</v>
      </c>
      <c r="B23" s="0" t="n">
        <v>1.023</v>
      </c>
      <c r="C23" s="0" t="n">
        <v>1.03</v>
      </c>
    </row>
    <row r="24" customFormat="false" ht="15" hidden="false" customHeight="false" outlineLevel="0" collapsed="false">
      <c r="A24" s="0" t="s">
        <v>28</v>
      </c>
      <c r="B24" s="0" t="n">
        <v>2.4</v>
      </c>
      <c r="C24" s="0" t="n">
        <v>8</v>
      </c>
    </row>
    <row r="25" customFormat="false" ht="15" hidden="false" customHeight="false" outlineLevel="0" collapsed="false">
      <c r="A25" s="0" t="s">
        <v>71</v>
      </c>
      <c r="B25" s="0" t="n">
        <v>0.6</v>
      </c>
      <c r="C25" s="0" t="n">
        <v>1</v>
      </c>
    </row>
    <row r="26" customFormat="false" ht="15" hidden="false" customHeight="false" outlineLevel="0" collapsed="false">
      <c r="A26" s="0" t="s">
        <v>74</v>
      </c>
      <c r="B26" s="0" t="n">
        <v>2</v>
      </c>
      <c r="C26" s="0" t="n">
        <v>5</v>
      </c>
    </row>
    <row r="27" customFormat="false" ht="15" hidden="false" customHeight="false" outlineLevel="0" collapsed="false">
      <c r="A27" s="0" t="s">
        <v>77</v>
      </c>
      <c r="B27" s="0" t="n">
        <v>2</v>
      </c>
      <c r="C27" s="0" t="n">
        <v>3</v>
      </c>
    </row>
    <row r="28" customFormat="false" ht="15" hidden="false" customHeight="false" outlineLevel="0" collapsed="false">
      <c r="A28" s="0" t="s">
        <v>79</v>
      </c>
      <c r="B28" s="0" t="n">
        <v>2</v>
      </c>
      <c r="C28" s="0" t="n">
        <v>5</v>
      </c>
    </row>
    <row r="29" customFormat="false" ht="15" hidden="false" customHeight="false" outlineLevel="0" collapsed="false">
      <c r="A29" s="0" t="s">
        <v>80</v>
      </c>
      <c r="B29" s="0" t="n">
        <v>1</v>
      </c>
      <c r="C29" s="0" t="n"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7" t="s">
        <v>143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29" t="s">
        <v>144</v>
      </c>
      <c r="B3" s="29" t="s">
        <v>145</v>
      </c>
      <c r="C3" s="29" t="s">
        <v>146</v>
      </c>
      <c r="D3" s="29" t="s">
        <v>147</v>
      </c>
      <c r="E3" s="29" t="s">
        <v>148</v>
      </c>
      <c r="F3" s="29" t="s">
        <v>149</v>
      </c>
      <c r="G3" s="29" t="s">
        <v>150</v>
      </c>
      <c r="H3" s="29" t="s">
        <v>151</v>
      </c>
    </row>
    <row r="4" customFormat="false" ht="15" hidden="false" customHeight="false" outlineLevel="0" collapsed="false">
      <c r="A4" s="16" t="s">
        <v>152</v>
      </c>
      <c r="B4" s="16" t="n">
        <v>92.67</v>
      </c>
      <c r="C4" s="16" t="n">
        <v>93.05</v>
      </c>
      <c r="D4" s="16" t="n">
        <v>94.61</v>
      </c>
      <c r="E4" s="16" t="n">
        <v>92.84</v>
      </c>
      <c r="F4" s="16" t="n">
        <f aca="false">AVERAGE(C4:E4)</f>
        <v>93.5</v>
      </c>
      <c r="G4" s="16" t="n">
        <f aca="false">STDEV(C4:E4)</f>
        <v>0.967005687677171</v>
      </c>
      <c r="H4" s="31" t="n">
        <f aca="false">IF(F4=0,0,G4/F4*100)</f>
        <v>1.03423068200767</v>
      </c>
    </row>
    <row r="5" customFormat="false" ht="15" hidden="false" customHeight="false" outlineLevel="0" collapsed="false">
      <c r="A5" s="16" t="s">
        <v>153</v>
      </c>
      <c r="B5" s="16" t="n">
        <v>30.22</v>
      </c>
      <c r="C5" s="16" t="n">
        <v>29.45</v>
      </c>
      <c r="D5" s="16" t="n">
        <v>30.03</v>
      </c>
      <c r="E5" s="16" t="n">
        <v>31.45</v>
      </c>
      <c r="F5" s="16" t="n">
        <f aca="false">AVERAGE(C5:E5)</f>
        <v>30.31</v>
      </c>
      <c r="G5" s="16" t="n">
        <f aca="false">STDEV(C5:E5)</f>
        <v>1.02898007755252</v>
      </c>
      <c r="H5" s="31" t="n">
        <f aca="false">IF(F5=0,0,G5/F5*100)</f>
        <v>3.39485343963222</v>
      </c>
    </row>
    <row r="6" customFormat="false" ht="15" hidden="false" customHeight="false" outlineLevel="0" collapsed="false">
      <c r="A6" s="16" t="s">
        <v>154</v>
      </c>
      <c r="B6" s="16" t="n">
        <v>90.11</v>
      </c>
      <c r="C6" s="16" t="n">
        <v>88.55</v>
      </c>
      <c r="D6" s="16" t="n">
        <v>91.64</v>
      </c>
      <c r="E6" s="16" t="n">
        <v>93.66</v>
      </c>
      <c r="F6" s="16" t="n">
        <f aca="false">AVERAGE(C6:E6)</f>
        <v>91.2833333333334</v>
      </c>
      <c r="G6" s="16" t="n">
        <f aca="false">STDEV(C6:E6)</f>
        <v>2.57360318101555</v>
      </c>
      <c r="H6" s="31" t="n">
        <f aca="false">IF(F6=0,0,G6/F6*100)</f>
        <v>2.81935714553465</v>
      </c>
    </row>
    <row r="8" customFormat="false" ht="15" hidden="false" customHeight="false" outlineLevel="0" collapsed="false">
      <c r="A8" s="26" t="s">
        <v>155</v>
      </c>
    </row>
    <row r="9" customFormat="false" ht="15" hidden="false" customHeight="false" outlineLevel="0" collapsed="false">
      <c r="A9" s="32" t="s">
        <v>156</v>
      </c>
    </row>
    <row r="10" customFormat="false" ht="15" hidden="false" customHeight="false" outlineLevel="0" collapsed="false">
      <c r="A10" s="33" t="s">
        <v>157</v>
      </c>
    </row>
    <row r="11" customFormat="false" ht="15" hidden="false" customHeight="false" outlineLevel="0" collapsed="false">
      <c r="A11" s="32" t="s">
        <v>158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7" t="s">
        <v>159</v>
      </c>
      <c r="B1" s="17"/>
    </row>
    <row r="3" customFormat="false" ht="15" hidden="false" customHeight="false" outlineLevel="0" collapsed="false">
      <c r="A3" s="14" t="s">
        <v>160</v>
      </c>
      <c r="B3" s="34" t="s">
        <v>161</v>
      </c>
    </row>
    <row r="4" customFormat="false" ht="15" hidden="false" customHeight="false" outlineLevel="0" collapsed="false">
      <c r="A4" s="14" t="s">
        <v>162</v>
      </c>
      <c r="B4" s="34" t="s">
        <v>163</v>
      </c>
    </row>
    <row r="5" customFormat="false" ht="15" hidden="false" customHeight="false" outlineLevel="0" collapsed="false">
      <c r="A5" s="14" t="s">
        <v>164</v>
      </c>
      <c r="B5" s="34" t="s">
        <v>165</v>
      </c>
    </row>
    <row r="6" customFormat="false" ht="15" hidden="false" customHeight="false" outlineLevel="0" collapsed="false">
      <c r="A6" s="14" t="s">
        <v>166</v>
      </c>
      <c r="B6" s="34" t="s">
        <v>167</v>
      </c>
    </row>
    <row r="7" customFormat="false" ht="15" hidden="false" customHeight="false" outlineLevel="0" collapsed="false">
      <c r="A7" s="14" t="s">
        <v>168</v>
      </c>
      <c r="B7" s="34" t="s">
        <v>169</v>
      </c>
    </row>
    <row r="8" customFormat="false" ht="15" hidden="false" customHeight="false" outlineLevel="0" collapsed="false">
      <c r="A8" s="14" t="s">
        <v>170</v>
      </c>
      <c r="B8" s="34" t="s">
        <v>171</v>
      </c>
    </row>
    <row r="9" customFormat="false" ht="15" hidden="false" customHeight="false" outlineLevel="0" collapsed="false">
      <c r="A9" s="14" t="s">
        <v>172</v>
      </c>
      <c r="B9" s="34" t="s">
        <v>22</v>
      </c>
    </row>
    <row r="10" customFormat="false" ht="15" hidden="false" customHeight="false" outlineLevel="0" collapsed="false">
      <c r="A10" s="14" t="s">
        <v>173</v>
      </c>
      <c r="B10" s="34" t="s">
        <v>174</v>
      </c>
    </row>
    <row r="11" customFormat="false" ht="15" hidden="false" customHeight="false" outlineLevel="0" collapsed="false">
      <c r="A11" s="14" t="s">
        <v>175</v>
      </c>
      <c r="B11" s="34" t="s">
        <v>176</v>
      </c>
    </row>
    <row r="12" customFormat="false" ht="15" hidden="false" customHeight="false" outlineLevel="0" collapsed="false">
      <c r="A12" s="14" t="s">
        <v>177</v>
      </c>
      <c r="B12" s="34" t="s">
        <v>178</v>
      </c>
    </row>
    <row r="13" customFormat="false" ht="15" hidden="false" customHeight="false" outlineLevel="0" collapsed="false">
      <c r="A13" s="14" t="s">
        <v>179</v>
      </c>
      <c r="B13" s="34" t="s">
        <v>180</v>
      </c>
    </row>
    <row r="14" customFormat="false" ht="15" hidden="false" customHeight="false" outlineLevel="0" collapsed="false">
      <c r="A14" s="14" t="s">
        <v>181</v>
      </c>
      <c r="B14" s="34" t="s">
        <v>182</v>
      </c>
    </row>
    <row r="15" customFormat="false" ht="15" hidden="false" customHeight="false" outlineLevel="0" collapsed="false">
      <c r="A15" s="14" t="s">
        <v>183</v>
      </c>
      <c r="B15" s="34" t="s">
        <v>184</v>
      </c>
    </row>
    <row r="16" customFormat="false" ht="23.85" hidden="false" customHeight="false" outlineLevel="0" collapsed="false">
      <c r="A16" s="14" t="s">
        <v>185</v>
      </c>
      <c r="B16" s="34" t="s">
        <v>186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2026-07-10T11:39:53Z</dcterms:created>
  <dc:creator>openpyxl</dc:creator>
  <dc:description/>
  <dc:language>en-US</dc:language>
  <cp:lastModifiedBy/>
  <dcterms:modified xsi:type="dcterms:W3CDTF">2026-07-10T11:40:01Z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