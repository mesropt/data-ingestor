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Patient" sheetId="2" state="visible" r:id="rId4"/>
    <sheet name="Coagulation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<sst xmlns="http://schemas.openxmlformats.org/spreadsheetml/2006/main" count="248" uniqueCount="157">
  <si>
    <t xml:space="preserve">LABORATORY REPORT</t>
  </si>
  <si>
    <t xml:space="preserve">CLIA #: 10D2331764</t>
  </si>
  <si>
    <t xml:space="preserve">Seattle, WA 98101</t>
  </si>
  <si>
    <t xml:space="preserve">  Coagulation Panel</t>
  </si>
  <si>
    <t xml:space="preserve">Patient Name</t>
  </si>
  <si>
    <t xml:space="preserve">WILSON, Margaret</t>
  </si>
  <si>
    <t xml:space="preserve">Accession #</t>
  </si>
  <si>
    <t xml:space="preserve">PC-2026-456706</t>
  </si>
  <si>
    <t xml:space="preserve">MRN</t>
  </si>
  <si>
    <t xml:space="preserve">6040427</t>
  </si>
  <si>
    <t xml:space="preserve">Collected</t>
  </si>
  <si>
    <t xml:space="preserve">06/07/2026</t>
  </si>
  <si>
    <t xml:space="preserve">DOB</t>
  </si>
  <si>
    <t xml:space="preserve">21/03/2003</t>
  </si>
  <si>
    <t xml:space="preserve">Received</t>
  </si>
  <si>
    <t xml:space="preserve">Age / Sex</t>
  </si>
  <si>
    <t xml:space="preserve">23 / F</t>
  </si>
  <si>
    <t xml:space="preserve">Reported</t>
  </si>
  <si>
    <t xml:space="preserve">07/07/2026</t>
  </si>
  <si>
    <t xml:space="preserve">Ordering Provider</t>
  </si>
  <si>
    <t xml:space="preserve">David M. Klein, MD</t>
  </si>
  <si>
    <t xml:space="preserve">Specimen</t>
  </si>
  <si>
    <t xml:space="preserve">Plasma (Sodium Citrate, Blue Top)</t>
  </si>
  <si>
    <t xml:space="preserve">  Abnormal Findings Summary (2)</t>
  </si>
  <si>
    <t xml:space="preserve">Analyte</t>
  </si>
  <si>
    <t xml:space="preserve">Result</t>
  </si>
  <si>
    <t xml:space="preserve">Flag</t>
  </si>
  <si>
    <t xml:space="preserve">Reference</t>
  </si>
  <si>
    <t xml:space="preserve">Prothrombin Time (PT)</t>
  </si>
  <si>
    <t xml:space="preserve">13.6 sec</t>
  </si>
  <si>
    <t xml:space="preserve">High</t>
  </si>
  <si>
    <t xml:space="preserve">11.0 - 13.5</t>
  </si>
  <si>
    <t xml:space="preserve">Fibrinogen</t>
  </si>
  <si>
    <t xml:space="preserve">414 mg/dL</t>
  </si>
  <si>
    <t xml:space="preserve">200 - 400</t>
  </si>
  <si>
    <t xml:space="preserve">This report is electronically verified. Results apply only to the specimen received. See Methodology sheet for assay details and limitations.</t>
  </si>
  <si>
    <t xml:space="preserve">Laboratory Director: Grace T. Lim,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</si>
  <si>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</si>
  <si>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</si>
  <si>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</si>
  <si>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</si>
  <si>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</si>
  <si>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</si>
  <si>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1494699002</t>
  </si>
  <si>
    <t xml:space="preserve">Age</t>
  </si>
  <si>
    <t xml:space="preserve">23</t>
  </si>
  <si>
    <t xml:space="preserve">Specimen Type</t>
  </si>
  <si>
    <t xml:space="preserve">Sex</t>
  </si>
  <si>
    <t xml:space="preserve">F</t>
  </si>
  <si>
    <t xml:space="preserve">Address</t>
  </si>
  <si>
    <t xml:space="preserve">5866 Pine St</t>
  </si>
  <si>
    <t xml:space="preserve">City/State/ZIP</t>
  </si>
  <si>
    <t xml:space="preserve">Phoenix, AZ 85094</t>
  </si>
  <si>
    <t xml:space="preserve">Phone</t>
  </si>
  <si>
    <t xml:space="preserve">(383) 700-3008</t>
  </si>
  <si>
    <t xml:space="preserve">Priority</t>
  </si>
  <si>
    <t xml:space="preserve">Routine</t>
  </si>
  <si>
    <t xml:space="preserve">Fasting Status</t>
  </si>
  <si>
    <t xml:space="preserve">Yes</t>
  </si>
  <si>
    <t xml:space="preserve">  Coagulation Panel — Quantitative Results</t>
  </si>
  <si>
    <t xml:space="preserve">LOINC</t>
  </si>
  <si>
    <t xml:space="preserve">Test / Analyte</t>
  </si>
  <si>
    <t xml:space="preserve">Units</t>
  </si>
  <si>
    <t xml:space="preserve">Reference Interval</t>
  </si>
  <si>
    <t xml:space="preserve">Method</t>
  </si>
  <si>
    <t xml:space="preserve">5902-2</t>
  </si>
  <si>
    <t xml:space="preserve">sec</t>
  </si>
  <si>
    <t xml:space="preserve">Clot detection</t>
  </si>
  <si>
    <t xml:space="preserve">6301-6</t>
  </si>
  <si>
    <t xml:space="preserve">INR</t>
  </si>
  <si>
    <t xml:space="preserve">Normal</t>
  </si>
  <si>
    <t xml:space="preserve">ratio</t>
  </si>
  <si>
    <t xml:space="preserve">0.8 - 1.1</t>
  </si>
  <si>
    <t xml:space="preserve">Calculated (ISI)</t>
  </si>
  <si>
    <t xml:space="preserve">3173-2</t>
  </si>
  <si>
    <t xml:space="preserve">aPTT</t>
  </si>
  <si>
    <t xml:space="preserve">25.0 - 35.0</t>
  </si>
  <si>
    <t xml:space="preserve">3255-7</t>
  </si>
  <si>
    <t xml:space="preserve">mg/dL</t>
  </si>
  <si>
    <t xml:space="preserve">Clauss method</t>
  </si>
  <si>
    <t xml:space="preserve">3243-3</t>
  </si>
  <si>
    <t xml:space="preserve">Thrombin Time</t>
  </si>
  <si>
    <t xml:space="preserve">14.0 - 21.0</t>
  </si>
  <si>
    <t xml:space="preserve">48065-7</t>
  </si>
  <si>
    <t xml:space="preserve">D-Dimer</t>
  </si>
  <si>
    <t xml:space="preserve">ug/mL FEU</t>
  </si>
  <si>
    <t xml:space="preserve">0.00 - 0.50</t>
  </si>
  <si>
    <t xml:space="preserve">Immunoturbidimetric</t>
  </si>
  <si>
    <t xml:space="preserve">27811-9</t>
  </si>
  <si>
    <t xml:space="preserve">Antithrombin III Activity</t>
  </si>
  <si>
    <t xml:space="preserve">%</t>
  </si>
  <si>
    <t xml:space="preserve">80 - 120</t>
  </si>
  <si>
    <t xml:space="preserve">Chromogenic</t>
  </si>
  <si>
    <t xml:space="preserve">27818-4</t>
  </si>
  <si>
    <t xml:space="preserve">Protein C Activity</t>
  </si>
  <si>
    <t xml:space="preserve">70 - 140</t>
  </si>
  <si>
    <t xml:space="preserve">27821-8</t>
  </si>
  <si>
    <t xml:space="preserve">Protein S Activity</t>
  </si>
  <si>
    <t xml:space="preserve">65 - 140</t>
  </si>
  <si>
    <t xml:space="preserve">Clot-based</t>
  </si>
  <si>
    <t xml:space="preserve">  Reference Intervals &amp; Methodology</t>
  </si>
  <si>
    <t xml:space="preserve">Low</t>
  </si>
  <si>
    <t xml:space="preserve">  Historical Trend — Thrombin Time</t>
  </si>
  <si>
    <t xml:space="preserve">Date</t>
  </si>
  <si>
    <t xml:space="preserve">Ref Low</t>
  </si>
  <si>
    <t xml:space="preserve">Ref High</t>
  </si>
  <si>
    <t xml:space="preserve">2025-04-13</t>
  </si>
  <si>
    <t xml:space="preserve">2025-07-12</t>
  </si>
  <si>
    <t xml:space="preserve">2025-10-10</t>
  </si>
  <si>
    <t xml:space="preserve">2026-01-08</t>
  </si>
  <si>
    <t xml:space="preserve">2026-04-08</t>
  </si>
  <si>
    <t xml:space="preserve">2026-07-07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</si>
  <si>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</si>
  <si>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</si>
  <si>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</si>
  <si>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</si>
  <si>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</si>
  <si>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</si>
  <si>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</si>
  <si>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</si>
  <si>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</si>
  <si>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</si>
  <si>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</si>
  <si>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</si>
  <si>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</si>
  <si>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</si>
  <si>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</si>
  <si>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</si>
  <si>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Grace T. Lim, MD, FCAP</t>
  </si>
  <si>
    <t xml:space="preserve">  Methodology, Instrumentation &amp; Disclaimers</t>
  </si>
  <si>
    <t xml:space="preserve">Testing Laboratory</t>
  </si>
  <si>
    <t xml:space="preserve">Pico Analytical, Seattle, WA 98101</t>
  </si>
  <si>
    <t xml:space="preserve">CLIA Certificate</t>
  </si>
  <si>
    <t xml:space="preserve">10D2331764</t>
  </si>
  <si>
    <t xml:space="preserve">Laboratory Director</t>
  </si>
  <si>
    <t xml:space="preserve">Grace T. Lim, MD, FCAP</t>
  </si>
  <si>
    <t xml:space="preserve">Primary Instrument</t>
  </si>
  <si>
    <t xml:space="preserve">Stago STA-R Max Coagulation</t>
  </si>
  <si>
    <t xml:space="preserve">Accreditation</t>
  </si>
  <si>
    <t xml:space="preserve">CAP / CLIA '88 accredited</t>
  </si>
  <si>
    <t xml:space="preserve">Panel</t>
  </si>
  <si>
    <t xml:space="preserve">Coagulation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</si>
  <si>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</si>
  <si>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</si>
  <si>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</si>
  <si>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</si>
  <si>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</si>
  <si>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</si>
  <si>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</si>
  <si>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</si>
  <si>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</si>
  <si>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</si>
  <si>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</si>
  <si>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</si>
  <si>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Grace T. Lim,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</si>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</sst>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6282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8E1B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8E1B1B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2828"/>
        <bgColor rgb="FFBE4B48"/>
      </patternFill>
    </fill>
    <fill>
      <patternFill patternType="solid">
        <fgColor rgb="FF8E1B1B"/>
        <bgColor rgb="FF8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628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03366"/>
      <rgbColor rgb="FF2E7D32"/>
      <rgbColor rgb="FF003300"/>
      <rgbColor rgb="FF333300"/>
      <rgbColor rgb="FF8E1B1B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Thrombin Time (sec)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2025-04-13</c:v>
                </c:pt>
                <c:pt idx="1">
                  <c:v>2025-07-12</c:v>
                </c:pt>
                <c:pt idx="2">
                  <c:v>2025-10-10</c:v>
                </c:pt>
                <c:pt idx="3">
                  <c:v>2026-01-08</c:v>
                </c:pt>
                <c:pt idx="4">
                  <c:v>2026-04-08</c:v>
                </c:pt>
                <c:pt idx="5">
                  <c:v>2026-07-07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17.3</c:v>
                </c:pt>
                <c:pt idx="1">
                  <c:v>16.2</c:v>
                </c:pt>
                <c:pt idx="2">
                  <c:v>17.7</c:v>
                </c:pt>
                <c:pt idx="3">
                  <c:v>16.9</c:v>
                </c:pt>
                <c:pt idx="4">
                  <c:v>17.1</c:v>
                </c:pt>
                <c:pt idx="5">
                  <c:v>16.9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2025-04-13</c:v>
                </c:pt>
                <c:pt idx="1">
                  <c:v>2025-07-12</c:v>
                </c:pt>
                <c:pt idx="2">
                  <c:v>2025-10-10</c:v>
                </c:pt>
                <c:pt idx="3">
                  <c:v>2026-01-08</c:v>
                </c:pt>
                <c:pt idx="4">
                  <c:v>2026-04-08</c:v>
                </c:pt>
                <c:pt idx="5">
                  <c:v>2026-07-07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2025-04-13</c:v>
                </c:pt>
                <c:pt idx="1">
                  <c:v>2025-07-12</c:v>
                </c:pt>
                <c:pt idx="2">
                  <c:v>2025-10-10</c:v>
                </c:pt>
                <c:pt idx="3">
                  <c:v>2026-01-08</c:v>
                </c:pt>
                <c:pt idx="4">
                  <c:v>2026-04-08</c:v>
                </c:pt>
                <c:pt idx="5">
                  <c:v>2026-07-07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988909"/>
        <c:axId val="16359808"/>
      </c:lineChart>
      <c:catAx>
        <c:axId val="48988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59808"/>
        <c:crosses val="autoZero"/>
        <c:auto val="1"/>
        <c:lblAlgn val="ctr"/>
        <c:lblOffset val="100"/>
        <c:noMultiLvlLbl val="0"/>
      </c:catAx>
      <c:valAx>
        <c:axId val="16359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88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Prothrombin Time (PT)</c:v>
                </c:pt>
                <c:pt idx="1">
                  <c:v>INR</c:v>
                </c:pt>
                <c:pt idx="2">
                  <c:v>aPTT</c:v>
                </c:pt>
                <c:pt idx="3">
                  <c:v>Fibrinogen</c:v>
                </c:pt>
                <c:pt idx="4">
                  <c:v>Thrombin Time</c:v>
                </c:pt>
                <c:pt idx="5">
                  <c:v>D-Dimer</c:v>
                </c:pt>
                <c:pt idx="6">
                  <c:v>Antithrombin III Activity</c:v>
                </c:pt>
                <c:pt idx="7">
                  <c:v>Protein C Activity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13.6</c:v>
                </c:pt>
                <c:pt idx="1">
                  <c:v>1</c:v>
                </c:pt>
                <c:pt idx="2">
                  <c:v>28.9</c:v>
                </c:pt>
                <c:pt idx="3">
                  <c:v>414</c:v>
                </c:pt>
                <c:pt idx="4">
                  <c:v>16.9</c:v>
                </c:pt>
                <c:pt idx="5">
                  <c:v>0.45</c:v>
                </c:pt>
                <c:pt idx="6">
                  <c:v>105</c:v>
                </c:pt>
                <c:pt idx="7">
                  <c:v>121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Prothrombin Time (PT)</c:v>
                </c:pt>
                <c:pt idx="1">
                  <c:v>INR</c:v>
                </c:pt>
                <c:pt idx="2">
                  <c:v>aPTT</c:v>
                </c:pt>
                <c:pt idx="3">
                  <c:v>Fibrinogen</c:v>
                </c:pt>
                <c:pt idx="4">
                  <c:v>Thrombin Time</c:v>
                </c:pt>
                <c:pt idx="5">
                  <c:v>D-Dimer</c:v>
                </c:pt>
                <c:pt idx="6">
                  <c:v>Antithrombin III Activity</c:v>
                </c:pt>
                <c:pt idx="7">
                  <c:v>Protein C Activity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13.5</c:v>
                </c:pt>
                <c:pt idx="1">
                  <c:v>1.1</c:v>
                </c:pt>
                <c:pt idx="2">
                  <c:v>35</c:v>
                </c:pt>
                <c:pt idx="3">
                  <c:v>400</c:v>
                </c:pt>
                <c:pt idx="4">
                  <c:v>21</c:v>
                </c:pt>
                <c:pt idx="5">
                  <c:v>0.5</c:v>
                </c:pt>
                <c:pt idx="6">
                  <c:v>120</c:v>
                </c:pt>
                <c:pt idx="7">
                  <c:v>140</c:v>
                </c:pt>
              </c:numCache>
            </c:numRef>
          </c:val>
        </c:ser>
        <c:gapWidth val="150"/>
        <c:overlap val="0"/>
        <c:axId val="59855862"/>
        <c:axId val="40928554"/>
      </c:barChart>
      <c:catAx>
        <c:axId val="59855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28554"/>
        <c:crosses val="autoZero"/>
        <c:auto val="1"/>
        <c:lblAlgn val="ctr"/>
        <c:lblOffset val="100"/>
        <c:noMultiLvlLbl val="0"/>
      </c:catAx>
      <c:valAx>
        <c:axId val="40928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5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9" t="s">
        <v>32</v>
      </c>
      <c r="B17" s="9"/>
      <c r="C17" s="9"/>
      <c r="D17" s="9" t="s">
        <v>33</v>
      </c>
      <c r="E17" s="9"/>
      <c r="F17" s="9" t="s">
        <v>30</v>
      </c>
      <c r="G17" s="9" t="s">
        <v>34</v>
      </c>
      <c r="H17" s="9"/>
    </row>
    <row r="19" customFormat="false" ht="15" hidden="false" customHeight="false" outlineLevel="0" collapsed="false">
      <c r="A19" s="10" t="s">
        <v>35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</row>
    <row r="22" customFormat="false" ht="15" hidden="false" customHeight="false" outlineLevel="0" collapsed="false">
      <c r="A22" s="11" t="s">
        <v>36</v>
      </c>
    </row>
  </sheetData>
  <mergeCells count="3">
    <mergeCell ref="A6:H6"/>
    <mergeCell ref="A14:H14"/>
    <mergeCell ref="A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37</v>
      </c>
      <c r="B1" s="12"/>
      <c r="D1" s="12" t="s">
        <v>38</v>
      </c>
      <c r="E1" s="12"/>
    </row>
    <row r="2" customFormat="false" ht="15" hidden="false" customHeight="false" outlineLevel="0" collapsed="false">
      <c r="A2" s="13" t="s">
        <v>39</v>
      </c>
      <c r="B2" s="14" t="s">
        <v>5</v>
      </c>
      <c r="D2" s="13" t="s">
        <v>6</v>
      </c>
      <c r="E2" s="14" t="s">
        <v>7</v>
      </c>
    </row>
    <row r="3" customFormat="false" ht="15" hidden="false" customHeight="false" outlineLevel="0" collapsed="false">
      <c r="A3" s="13" t="s">
        <v>40</v>
      </c>
      <c r="B3" s="14" t="s">
        <v>9</v>
      </c>
      <c r="D3" s="13" t="s">
        <v>19</v>
      </c>
      <c r="E3" s="14" t="s">
        <v>20</v>
      </c>
    </row>
    <row r="4" customFormat="false" ht="15" hidden="false" customHeight="false" outlineLevel="0" collapsed="false">
      <c r="A4" s="13" t="s">
        <v>41</v>
      </c>
      <c r="B4" s="14" t="s">
        <v>13</v>
      </c>
      <c r="D4" s="13" t="s">
        <v>42</v>
      </c>
      <c r="E4" s="14" t="s">
        <v>43</v>
      </c>
    </row>
    <row r="5" customFormat="false" ht="15" hidden="false" customHeight="false" outlineLevel="0" collapsed="false">
      <c r="A5" s="13" t="s">
        <v>44</v>
      </c>
      <c r="B5" s="14" t="s">
        <v>45</v>
      </c>
      <c r="D5" s="13" t="s">
        <v>46</v>
      </c>
      <c r="E5" s="14" t="s">
        <v>22</v>
      </c>
    </row>
    <row r="6" customFormat="false" ht="15" hidden="false" customHeight="false" outlineLevel="0" collapsed="false">
      <c r="A6" s="13" t="s">
        <v>47</v>
      </c>
      <c r="B6" s="14" t="s">
        <v>48</v>
      </c>
      <c r="D6" s="13" t="s">
        <v>10</v>
      </c>
      <c r="E6" s="14" t="s">
        <v>11</v>
      </c>
    </row>
    <row r="7" customFormat="false" ht="15" hidden="false" customHeight="false" outlineLevel="0" collapsed="false">
      <c r="A7" s="13" t="s">
        <v>49</v>
      </c>
      <c r="B7" s="14" t="s">
        <v>50</v>
      </c>
      <c r="D7" s="13" t="s">
        <v>14</v>
      </c>
      <c r="E7" s="14" t="s">
        <v>11</v>
      </c>
    </row>
    <row r="8" customFormat="false" ht="15" hidden="false" customHeight="false" outlineLevel="0" collapsed="false">
      <c r="A8" s="13" t="s">
        <v>51</v>
      </c>
      <c r="B8" s="14" t="s">
        <v>52</v>
      </c>
      <c r="D8" s="13" t="s">
        <v>17</v>
      </c>
      <c r="E8" s="14" t="s">
        <v>18</v>
      </c>
    </row>
    <row r="9" customFormat="false" ht="15" hidden="false" customHeight="false" outlineLevel="0" collapsed="false">
      <c r="A9" s="13" t="s">
        <v>53</v>
      </c>
      <c r="B9" s="14" t="s">
        <v>54</v>
      </c>
      <c r="D9" s="13" t="s">
        <v>55</v>
      </c>
      <c r="E9" s="14" t="s">
        <v>56</v>
      </c>
    </row>
    <row r="10" customFormat="false" ht="15" hidden="false" customHeight="false" outlineLevel="0" collapsed="false">
      <c r="A10" s="15"/>
      <c r="B10" s="15"/>
      <c r="D10" s="13" t="s">
        <v>57</v>
      </c>
      <c r="E10" s="14" t="s">
        <v>58</v>
      </c>
    </row>
    <row r="11" customFormat="false" ht="15" hidden="false" customHeight="false" outlineLevel="0" collapsed="false">
      <c r="A11" s="15"/>
      <c r="B11" s="15"/>
      <c r="D11" s="15"/>
      <c r="E11" s="15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19.5" hidden="false" customHeight="true" outlineLevel="0" collapsed="false">
      <c r="A1" s="16" t="s">
        <v>59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17" t="s">
        <v>60</v>
      </c>
      <c r="B3" s="17" t="s">
        <v>61</v>
      </c>
      <c r="C3" s="17" t="s">
        <v>25</v>
      </c>
      <c r="D3" s="17" t="s">
        <v>26</v>
      </c>
      <c r="E3" s="17" t="s">
        <v>62</v>
      </c>
      <c r="F3" s="17" t="s">
        <v>63</v>
      </c>
      <c r="G3" s="17" t="s">
        <v>64</v>
      </c>
    </row>
    <row r="4" customFormat="false" ht="15" hidden="false" customHeight="false" outlineLevel="0" collapsed="false">
      <c r="A4" s="18" t="s">
        <v>65</v>
      </c>
      <c r="B4" s="18" t="s">
        <v>28</v>
      </c>
      <c r="C4" s="19" t="n">
        <v>13.6</v>
      </c>
      <c r="D4" s="20" t="s">
        <v>30</v>
      </c>
      <c r="E4" s="18" t="s">
        <v>66</v>
      </c>
      <c r="F4" s="18" t="s">
        <v>31</v>
      </c>
      <c r="G4" s="18" t="s">
        <v>67</v>
      </c>
    </row>
    <row r="5" customFormat="false" ht="15" hidden="false" customHeight="false" outlineLevel="0" collapsed="false">
      <c r="A5" s="14" t="s">
        <v>68</v>
      </c>
      <c r="B5" s="14" t="s">
        <v>69</v>
      </c>
      <c r="C5" s="21" t="n">
        <v>1</v>
      </c>
      <c r="D5" s="21" t="s">
        <v>70</v>
      </c>
      <c r="E5" s="14" t="s">
        <v>71</v>
      </c>
      <c r="F5" s="14" t="s">
        <v>72</v>
      </c>
      <c r="G5" s="14" t="s">
        <v>73</v>
      </c>
    </row>
    <row r="6" customFormat="false" ht="15" hidden="false" customHeight="false" outlineLevel="0" collapsed="false">
      <c r="A6" s="14" t="s">
        <v>74</v>
      </c>
      <c r="B6" s="14" t="s">
        <v>75</v>
      </c>
      <c r="C6" s="21" t="n">
        <v>28.9</v>
      </c>
      <c r="D6" s="21" t="s">
        <v>70</v>
      </c>
      <c r="E6" s="14" t="s">
        <v>66</v>
      </c>
      <c r="F6" s="14" t="s">
        <v>76</v>
      </c>
      <c r="G6" s="14" t="s">
        <v>67</v>
      </c>
    </row>
    <row r="7" customFormat="false" ht="15" hidden="false" customHeight="false" outlineLevel="0" collapsed="false">
      <c r="A7" s="18" t="s">
        <v>77</v>
      </c>
      <c r="B7" s="18" t="s">
        <v>32</v>
      </c>
      <c r="C7" s="19" t="n">
        <v>414</v>
      </c>
      <c r="D7" s="20" t="s">
        <v>30</v>
      </c>
      <c r="E7" s="18" t="s">
        <v>78</v>
      </c>
      <c r="F7" s="18" t="s">
        <v>34</v>
      </c>
      <c r="G7" s="18" t="s">
        <v>79</v>
      </c>
    </row>
    <row r="8" customFormat="false" ht="15" hidden="false" customHeight="false" outlineLevel="0" collapsed="false">
      <c r="A8" s="14" t="s">
        <v>80</v>
      </c>
      <c r="B8" s="14" t="s">
        <v>81</v>
      </c>
      <c r="C8" s="21" t="n">
        <v>16.9</v>
      </c>
      <c r="D8" s="21" t="s">
        <v>70</v>
      </c>
      <c r="E8" s="14" t="s">
        <v>66</v>
      </c>
      <c r="F8" s="14" t="s">
        <v>82</v>
      </c>
      <c r="G8" s="14" t="s">
        <v>67</v>
      </c>
    </row>
    <row r="9" customFormat="false" ht="15" hidden="false" customHeight="false" outlineLevel="0" collapsed="false">
      <c r="A9" s="14" t="s">
        <v>83</v>
      </c>
      <c r="B9" s="14" t="s">
        <v>84</v>
      </c>
      <c r="C9" s="21" t="n">
        <v>0.45</v>
      </c>
      <c r="D9" s="21" t="s">
        <v>70</v>
      </c>
      <c r="E9" s="14" t="s">
        <v>85</v>
      </c>
      <c r="F9" s="14" t="s">
        <v>86</v>
      </c>
      <c r="G9" s="14" t="s">
        <v>87</v>
      </c>
    </row>
    <row r="10" customFormat="false" ht="15" hidden="false" customHeight="false" outlineLevel="0" collapsed="false">
      <c r="A10" s="14" t="s">
        <v>88</v>
      </c>
      <c r="B10" s="14" t="s">
        <v>89</v>
      </c>
      <c r="C10" s="21" t="n">
        <v>105</v>
      </c>
      <c r="D10" s="21" t="s">
        <v>70</v>
      </c>
      <c r="E10" s="14" t="s">
        <v>90</v>
      </c>
      <c r="F10" s="14" t="s">
        <v>91</v>
      </c>
      <c r="G10" s="14" t="s">
        <v>92</v>
      </c>
    </row>
    <row r="11" customFormat="false" ht="15" hidden="false" customHeight="false" outlineLevel="0" collapsed="false">
      <c r="A11" s="14" t="s">
        <v>93</v>
      </c>
      <c r="B11" s="14" t="s">
        <v>94</v>
      </c>
      <c r="C11" s="21" t="n">
        <v>121</v>
      </c>
      <c r="D11" s="21" t="s">
        <v>70</v>
      </c>
      <c r="E11" s="14" t="s">
        <v>90</v>
      </c>
      <c r="F11" s="14" t="s">
        <v>95</v>
      </c>
      <c r="G11" s="14" t="s">
        <v>92</v>
      </c>
    </row>
    <row r="12" customFormat="false" ht="15" hidden="false" customHeight="false" outlineLevel="0" collapsed="false">
      <c r="A12" s="14" t="s">
        <v>96</v>
      </c>
      <c r="B12" s="14" t="s">
        <v>97</v>
      </c>
      <c r="C12" s="21" t="n">
        <v>95</v>
      </c>
      <c r="D12" s="21" t="s">
        <v>70</v>
      </c>
      <c r="E12" s="14" t="s">
        <v>90</v>
      </c>
      <c r="F12" s="14" t="s">
        <v>98</v>
      </c>
      <c r="G12" s="14" t="s">
        <v>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6" t="s">
        <v>100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2" t="s">
        <v>24</v>
      </c>
      <c r="B3" s="22" t="s">
        <v>60</v>
      </c>
      <c r="C3" s="22" t="s">
        <v>62</v>
      </c>
      <c r="D3" s="22" t="s">
        <v>101</v>
      </c>
      <c r="E3" s="22" t="s">
        <v>30</v>
      </c>
      <c r="F3" s="22" t="s">
        <v>64</v>
      </c>
    </row>
    <row r="4" customFormat="false" ht="15" hidden="false" customHeight="false" outlineLevel="0" collapsed="false">
      <c r="A4" s="23" t="s">
        <v>28</v>
      </c>
      <c r="B4" s="23" t="s">
        <v>65</v>
      </c>
      <c r="C4" s="23" t="s">
        <v>66</v>
      </c>
      <c r="D4" s="23" t="n">
        <v>11</v>
      </c>
      <c r="E4" s="23" t="n">
        <v>13.5</v>
      </c>
      <c r="F4" s="23" t="s">
        <v>67</v>
      </c>
    </row>
    <row r="5" customFormat="false" ht="15" hidden="false" customHeight="false" outlineLevel="0" collapsed="false">
      <c r="A5" s="23" t="s">
        <v>69</v>
      </c>
      <c r="B5" s="23" t="s">
        <v>68</v>
      </c>
      <c r="C5" s="23" t="s">
        <v>71</v>
      </c>
      <c r="D5" s="23" t="n">
        <v>0.8</v>
      </c>
      <c r="E5" s="23" t="n">
        <v>1.1</v>
      </c>
      <c r="F5" s="23" t="s">
        <v>73</v>
      </c>
    </row>
    <row r="6" customFormat="false" ht="15" hidden="false" customHeight="false" outlineLevel="0" collapsed="false">
      <c r="A6" s="23" t="s">
        <v>75</v>
      </c>
      <c r="B6" s="23" t="s">
        <v>74</v>
      </c>
      <c r="C6" s="23" t="s">
        <v>66</v>
      </c>
      <c r="D6" s="23" t="n">
        <v>25</v>
      </c>
      <c r="E6" s="23" t="n">
        <v>35</v>
      </c>
      <c r="F6" s="23" t="s">
        <v>67</v>
      </c>
    </row>
    <row r="7" customFormat="false" ht="15" hidden="false" customHeight="false" outlineLevel="0" collapsed="false">
      <c r="A7" s="23" t="s">
        <v>32</v>
      </c>
      <c r="B7" s="23" t="s">
        <v>77</v>
      </c>
      <c r="C7" s="23" t="s">
        <v>78</v>
      </c>
      <c r="D7" s="23" t="n">
        <v>200</v>
      </c>
      <c r="E7" s="23" t="n">
        <v>400</v>
      </c>
      <c r="F7" s="23" t="s">
        <v>79</v>
      </c>
    </row>
    <row r="8" customFormat="false" ht="15" hidden="false" customHeight="false" outlineLevel="0" collapsed="false">
      <c r="A8" s="23" t="s">
        <v>81</v>
      </c>
      <c r="B8" s="23" t="s">
        <v>80</v>
      </c>
      <c r="C8" s="23" t="s">
        <v>66</v>
      </c>
      <c r="D8" s="23" t="n">
        <v>14</v>
      </c>
      <c r="E8" s="23" t="n">
        <v>21</v>
      </c>
      <c r="F8" s="23" t="s">
        <v>67</v>
      </c>
    </row>
    <row r="9" customFormat="false" ht="15" hidden="false" customHeight="false" outlineLevel="0" collapsed="false">
      <c r="A9" s="23" t="s">
        <v>84</v>
      </c>
      <c r="B9" s="23" t="s">
        <v>83</v>
      </c>
      <c r="C9" s="23" t="s">
        <v>85</v>
      </c>
      <c r="D9" s="23" t="n">
        <v>0</v>
      </c>
      <c r="E9" s="23" t="n">
        <v>0.5</v>
      </c>
      <c r="F9" s="23" t="s">
        <v>87</v>
      </c>
    </row>
    <row r="10" customFormat="false" ht="15" hidden="false" customHeight="false" outlineLevel="0" collapsed="false">
      <c r="A10" s="23" t="s">
        <v>89</v>
      </c>
      <c r="B10" s="23" t="s">
        <v>88</v>
      </c>
      <c r="C10" s="23" t="s">
        <v>90</v>
      </c>
      <c r="D10" s="23" t="n">
        <v>80</v>
      </c>
      <c r="E10" s="23" t="n">
        <v>120</v>
      </c>
      <c r="F10" s="23" t="s">
        <v>92</v>
      </c>
    </row>
    <row r="11" customFormat="false" ht="15" hidden="false" customHeight="false" outlineLevel="0" collapsed="false">
      <c r="A11" s="23" t="s">
        <v>94</v>
      </c>
      <c r="B11" s="23" t="s">
        <v>93</v>
      </c>
      <c r="C11" s="23" t="s">
        <v>90</v>
      </c>
      <c r="D11" s="23" t="n">
        <v>70</v>
      </c>
      <c r="E11" s="23" t="n">
        <v>140</v>
      </c>
      <c r="F11" s="23" t="s">
        <v>92</v>
      </c>
    </row>
    <row r="12" customFormat="false" ht="15" hidden="false" customHeight="false" outlineLevel="0" collapsed="false">
      <c r="A12" s="23" t="s">
        <v>97</v>
      </c>
      <c r="B12" s="23" t="s">
        <v>96</v>
      </c>
      <c r="C12" s="23" t="s">
        <v>90</v>
      </c>
      <c r="D12" s="23" t="n">
        <v>65</v>
      </c>
      <c r="E12" s="23" t="n">
        <v>140</v>
      </c>
      <c r="F12" s="23" t="s">
        <v>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6" t="s">
        <v>102</v>
      </c>
      <c r="B1" s="16"/>
      <c r="C1" s="16"/>
      <c r="D1" s="16"/>
    </row>
    <row r="3" customFormat="false" ht="15" hidden="false" customHeight="false" outlineLevel="0" collapsed="false">
      <c r="A3" s="24" t="s">
        <v>103</v>
      </c>
      <c r="B3" s="24" t="s">
        <v>25</v>
      </c>
      <c r="C3" s="24" t="s">
        <v>104</v>
      </c>
      <c r="D3" s="24" t="s">
        <v>105</v>
      </c>
    </row>
    <row r="4" customFormat="false" ht="15" hidden="false" customHeight="false" outlineLevel="0" collapsed="false">
      <c r="A4" s="0" t="s">
        <v>106</v>
      </c>
      <c r="B4" s="0" t="n">
        <v>17.3</v>
      </c>
      <c r="C4" s="0" t="n">
        <v>14</v>
      </c>
      <c r="D4" s="0" t="n">
        <v>21</v>
      </c>
    </row>
    <row r="5" customFormat="false" ht="15" hidden="false" customHeight="false" outlineLevel="0" collapsed="false">
      <c r="A5" s="0" t="s">
        <v>107</v>
      </c>
      <c r="B5" s="0" t="n">
        <v>16.2</v>
      </c>
      <c r="C5" s="0" t="n">
        <v>14</v>
      </c>
      <c r="D5" s="0" t="n">
        <v>21</v>
      </c>
    </row>
    <row r="6" customFormat="false" ht="15" hidden="false" customHeight="false" outlineLevel="0" collapsed="false">
      <c r="A6" s="0" t="s">
        <v>108</v>
      </c>
      <c r="B6" s="0" t="n">
        <v>17.7</v>
      </c>
      <c r="C6" s="0" t="n">
        <v>14</v>
      </c>
      <c r="D6" s="0" t="n">
        <v>21</v>
      </c>
    </row>
    <row r="7" customFormat="false" ht="15" hidden="false" customHeight="false" outlineLevel="0" collapsed="false">
      <c r="A7" s="0" t="s">
        <v>109</v>
      </c>
      <c r="B7" s="0" t="n">
        <v>16.9</v>
      </c>
      <c r="C7" s="0" t="n">
        <v>14</v>
      </c>
      <c r="D7" s="0" t="n">
        <v>21</v>
      </c>
    </row>
    <row r="8" customFormat="false" ht="15" hidden="false" customHeight="false" outlineLevel="0" collapsed="false">
      <c r="A8" s="0" t="s">
        <v>110</v>
      </c>
      <c r="B8" s="0" t="n">
        <v>17.1</v>
      </c>
      <c r="C8" s="0" t="n">
        <v>14</v>
      </c>
      <c r="D8" s="0" t="n">
        <v>21</v>
      </c>
    </row>
    <row r="9" customFormat="false" ht="15" hidden="false" customHeight="false" outlineLevel="0" collapsed="false">
      <c r="A9" s="0" t="s">
        <v>111</v>
      </c>
      <c r="B9" s="0" t="n">
        <v>16.9</v>
      </c>
      <c r="C9" s="0" t="n">
        <v>14</v>
      </c>
      <c r="D9" s="0" t="n">
        <v>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6" t="s">
        <v>112</v>
      </c>
      <c r="B1" s="16"/>
      <c r="C1" s="16"/>
      <c r="D1" s="16"/>
      <c r="E1" s="16"/>
      <c r="F1" s="16"/>
    </row>
    <row r="22" customFormat="false" ht="15" hidden="false" customHeight="false" outlineLevel="0" collapsed="false">
      <c r="A22" s="24" t="s">
        <v>24</v>
      </c>
      <c r="B22" s="24" t="s">
        <v>25</v>
      </c>
      <c r="C22" s="24" t="s">
        <v>105</v>
      </c>
    </row>
    <row r="23" customFormat="false" ht="15" hidden="false" customHeight="false" outlineLevel="0" collapsed="false">
      <c r="A23" s="0" t="s">
        <v>28</v>
      </c>
      <c r="B23" s="0" t="n">
        <v>13.6</v>
      </c>
      <c r="C23" s="0" t="n">
        <v>13.5</v>
      </c>
    </row>
    <row r="24" customFormat="false" ht="15" hidden="false" customHeight="false" outlineLevel="0" collapsed="false">
      <c r="A24" s="0" t="s">
        <v>69</v>
      </c>
      <c r="B24" s="0" t="n">
        <v>1</v>
      </c>
      <c r="C24" s="0" t="n">
        <v>1.1</v>
      </c>
    </row>
    <row r="25" customFormat="false" ht="15" hidden="false" customHeight="false" outlineLevel="0" collapsed="false">
      <c r="A25" s="0" t="s">
        <v>75</v>
      </c>
      <c r="B25" s="0" t="n">
        <v>28.9</v>
      </c>
      <c r="C25" s="0" t="n">
        <v>35</v>
      </c>
    </row>
    <row r="26" customFormat="false" ht="15" hidden="false" customHeight="false" outlineLevel="0" collapsed="false">
      <c r="A26" s="0" t="s">
        <v>32</v>
      </c>
      <c r="B26" s="0" t="n">
        <v>414</v>
      </c>
      <c r="C26" s="0" t="n">
        <v>400</v>
      </c>
    </row>
    <row r="27" customFormat="false" ht="15" hidden="false" customHeight="false" outlineLevel="0" collapsed="false">
      <c r="A27" s="0" t="s">
        <v>81</v>
      </c>
      <c r="B27" s="0" t="n">
        <v>16.9</v>
      </c>
      <c r="C27" s="0" t="n">
        <v>21</v>
      </c>
    </row>
    <row r="28" customFormat="false" ht="15" hidden="false" customHeight="false" outlineLevel="0" collapsed="false">
      <c r="A28" s="0" t="s">
        <v>84</v>
      </c>
      <c r="B28" s="0" t="n">
        <v>0.45</v>
      </c>
      <c r="C28" s="0" t="n">
        <v>0.5</v>
      </c>
    </row>
    <row r="29" customFormat="false" ht="15" hidden="false" customHeight="false" outlineLevel="0" collapsed="false">
      <c r="A29" s="0" t="s">
        <v>89</v>
      </c>
      <c r="B29" s="0" t="n">
        <v>105</v>
      </c>
      <c r="C29" s="0" t="n">
        <v>120</v>
      </c>
    </row>
    <row r="30" customFormat="false" ht="15" hidden="false" customHeight="false" outlineLevel="0" collapsed="false">
      <c r="A30" s="0" t="s">
        <v>94</v>
      </c>
      <c r="B30" s="0" t="n">
        <v>121</v>
      </c>
      <c r="C30" s="0" t="n">
        <v>140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113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2" t="s">
        <v>114</v>
      </c>
      <c r="B3" s="22" t="s">
        <v>115</v>
      </c>
      <c r="C3" s="22" t="s">
        <v>116</v>
      </c>
      <c r="D3" s="22" t="s">
        <v>117</v>
      </c>
      <c r="E3" s="22" t="s">
        <v>118</v>
      </c>
      <c r="F3" s="22" t="s">
        <v>119</v>
      </c>
      <c r="G3" s="22" t="s">
        <v>120</v>
      </c>
      <c r="H3" s="22" t="s">
        <v>121</v>
      </c>
    </row>
    <row r="4" customFormat="false" ht="15" hidden="false" customHeight="false" outlineLevel="0" collapsed="false">
      <c r="A4" s="15" t="s">
        <v>122</v>
      </c>
      <c r="B4" s="15" t="n">
        <v>48.75</v>
      </c>
      <c r="C4" s="15" t="n">
        <v>49.3</v>
      </c>
      <c r="D4" s="15" t="n">
        <v>47.04</v>
      </c>
      <c r="E4" s="15" t="n">
        <v>49.58</v>
      </c>
      <c r="F4" s="15" t="n">
        <f aca="false">AVERAGE(C4:E4)</f>
        <v>48.64</v>
      </c>
      <c r="G4" s="15" t="n">
        <f aca="false">STDEV(C4:E4)</f>
        <v>1.39269522868429</v>
      </c>
      <c r="H4" s="25" t="n">
        <f aca="false">IF(F4=0,0,G4/F4*100)</f>
        <v>2.86327144055159</v>
      </c>
    </row>
    <row r="5" customFormat="false" ht="15" hidden="false" customHeight="false" outlineLevel="0" collapsed="false">
      <c r="A5" s="15" t="s">
        <v>123</v>
      </c>
      <c r="B5" s="15" t="n">
        <v>73.73</v>
      </c>
      <c r="C5" s="15" t="n">
        <v>76.85</v>
      </c>
      <c r="D5" s="15" t="n">
        <v>74.81</v>
      </c>
      <c r="E5" s="15" t="n">
        <v>71.95</v>
      </c>
      <c r="F5" s="15" t="n">
        <f aca="false">AVERAGE(C5:E5)</f>
        <v>74.5366666666667</v>
      </c>
      <c r="G5" s="15" t="n">
        <f aca="false">STDEV(C5:E5)</f>
        <v>2.46140881068816</v>
      </c>
      <c r="H5" s="25" t="n">
        <f aca="false">IF(F5=0,0,G5/F5*100)</f>
        <v>3.30227916106815</v>
      </c>
    </row>
    <row r="6" customFormat="false" ht="15" hidden="false" customHeight="false" outlineLevel="0" collapsed="false">
      <c r="A6" s="15" t="s">
        <v>124</v>
      </c>
      <c r="B6" s="15" t="n">
        <v>35.18</v>
      </c>
      <c r="C6" s="15" t="n">
        <v>34.42</v>
      </c>
      <c r="D6" s="15" t="n">
        <v>35.05</v>
      </c>
      <c r="E6" s="15" t="n">
        <v>35.54</v>
      </c>
      <c r="F6" s="15" t="n">
        <f aca="false">AVERAGE(C6:E6)</f>
        <v>35.0033333333333</v>
      </c>
      <c r="G6" s="15" t="n">
        <f aca="false">STDEV(C6:E6)</f>
        <v>0.561456439390744</v>
      </c>
      <c r="H6" s="25" t="n">
        <f aca="false">IF(F6=0,0,G6/F6*100)</f>
        <v>1.60400849268854</v>
      </c>
    </row>
    <row r="8" customFormat="false" ht="15" hidden="false" customHeight="false" outlineLevel="0" collapsed="false">
      <c r="A8" s="26" t="s">
        <v>125</v>
      </c>
    </row>
    <row r="9" customFormat="false" ht="15" hidden="false" customHeight="false" outlineLevel="0" collapsed="false">
      <c r="A9" s="27" t="s">
        <v>126</v>
      </c>
    </row>
    <row r="10" customFormat="false" ht="15" hidden="false" customHeight="false" outlineLevel="0" collapsed="false">
      <c r="A10" s="28" t="s">
        <v>127</v>
      </c>
    </row>
    <row r="11" customFormat="false" ht="15" hidden="false" customHeight="false" outlineLevel="0" collapsed="false">
      <c r="A11" s="27" t="s">
        <v>128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6" t="s">
        <v>129</v>
      </c>
      <c r="B1" s="16"/>
    </row>
    <row r="3" customFormat="false" ht="15" hidden="false" customHeight="false" outlineLevel="0" collapsed="false">
      <c r="A3" s="13" t="s">
        <v>130</v>
      </c>
      <c r="B3" s="29" t="s">
        <v>131</v>
      </c>
    </row>
    <row r="4" customFormat="false" ht="15" hidden="false" customHeight="false" outlineLevel="0" collapsed="false">
      <c r="A4" s="13" t="s">
        <v>132</v>
      </c>
      <c r="B4" s="29" t="s">
        <v>133</v>
      </c>
    </row>
    <row r="5" customFormat="false" ht="15" hidden="false" customHeight="false" outlineLevel="0" collapsed="false">
      <c r="A5" s="13" t="s">
        <v>134</v>
      </c>
      <c r="B5" s="29" t="s">
        <v>135</v>
      </c>
    </row>
    <row r="6" customFormat="false" ht="15" hidden="false" customHeight="false" outlineLevel="0" collapsed="false">
      <c r="A6" s="13" t="s">
        <v>136</v>
      </c>
      <c r="B6" s="29" t="s">
        <v>137</v>
      </c>
    </row>
    <row r="7" customFormat="false" ht="15" hidden="false" customHeight="false" outlineLevel="0" collapsed="false">
      <c r="A7" s="13" t="s">
        <v>138</v>
      </c>
      <c r="B7" s="29" t="s">
        <v>139</v>
      </c>
    </row>
    <row r="8" customFormat="false" ht="15" hidden="false" customHeight="false" outlineLevel="0" collapsed="false">
      <c r="A8" s="13" t="s">
        <v>140</v>
      </c>
      <c r="B8" s="29" t="s">
        <v>141</v>
      </c>
    </row>
    <row r="9" customFormat="false" ht="15" hidden="false" customHeight="false" outlineLevel="0" collapsed="false">
      <c r="A9" s="13" t="s">
        <v>142</v>
      </c>
      <c r="B9" s="29" t="s">
        <v>22</v>
      </c>
    </row>
    <row r="10" customFormat="false" ht="15" hidden="false" customHeight="false" outlineLevel="0" collapsed="false">
      <c r="A10" s="13" t="s">
        <v>143</v>
      </c>
      <c r="B10" s="29" t="s">
        <v>144</v>
      </c>
    </row>
    <row r="11" customFormat="false" ht="15" hidden="false" customHeight="false" outlineLevel="0" collapsed="false">
      <c r="A11" s="13" t="s">
        <v>145</v>
      </c>
      <c r="B11" s="29" t="s">
        <v>146</v>
      </c>
    </row>
    <row r="12" customFormat="false" ht="15" hidden="false" customHeight="false" outlineLevel="0" collapsed="false">
      <c r="A12" s="13" t="s">
        <v>147</v>
      </c>
      <c r="B12" s="29" t="s">
        <v>148</v>
      </c>
    </row>
    <row r="13" customFormat="false" ht="15" hidden="false" customHeight="false" outlineLevel="0" collapsed="false">
      <c r="A13" s="13" t="s">
        <v>149</v>
      </c>
      <c r="B13" s="29" t="s">
        <v>150</v>
      </c>
    </row>
    <row r="14" customFormat="false" ht="15" hidden="false" customHeight="false" outlineLevel="0" collapsed="false">
      <c r="A14" s="13" t="s">
        <v>151</v>
      </c>
      <c r="B14" s="29" t="s">
        <v>152</v>
      </c>
    </row>
    <row r="15" customFormat="false" ht="15" hidden="false" customHeight="false" outlineLevel="0" collapsed="false">
      <c r="A15" s="13" t="s">
        <v>153</v>
      </c>
      <c r="B15" s="29" t="s">
        <v>154</v>
      </c>
    </row>
    <row r="16" customFormat="false" ht="23.85" hidden="false" customHeight="false" outlineLevel="0" collapsed="false">
      <c r="A16" s="13" t="s">
        <v>155</v>
      </c>
      <c r="B16" s="29" t="s">
        <v>156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2026-07-10T11:39:54Z</dcterms:created>
  <dc:creator>openpyxl</dc:creator>
  <dc:description/>
  <dc:language>en-US</dc:language>
  <cp:lastModifiedBy/>
  <dcterms:modified xsi:type="dcterms:W3CDTF">2026-07-10T11:40:08Z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