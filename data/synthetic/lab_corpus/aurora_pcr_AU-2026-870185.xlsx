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Summary" sheetId="1" state="visible" r:id="rId3"/>
    <sheet name="Patient &amp; Specimen" sheetId="2" state="visible" r:id="rId4"/>
    <sheet name="Detected Panel" sheetId="3" state="visible" r:id="rId5"/>
    <sheet name="Amplification Data" sheetId="4" state="visible" r:id="rId6"/>
    <sheet name="Reference Ranges" sheetId="5" state="visible" r:id="rId7"/>
    <sheet name="Historical Trend" sheetId="6" state="visible" r:id="rId8"/>
    <sheet name="Result Visualization" sheetId="7" state="visible" r:id="rId9"/>
    <sheet name="Quality Control" sheetId="8" state="visible" r:id="rId10"/>
    <sheet name="Methodology &amp; Not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<sst xmlns="http://schemas.openxmlformats.org/spreadsheetml/2006/main" count="238" uniqueCount="154">
  <si>
    <t xml:space="preserve">LABORATORY REPORT</t>
  </si>
  <si>
    <t xml:space="preserve">CLIA #: 99D2554810</t>
  </si>
  <si>
    <t xml:space="preserve">Austin, TX 78701</t>
  </si>
  <si>
    <t xml:space="preserve">  Respiratory Pathogen &amp; Viral Load PCR Panel</t>
  </si>
  <si>
    <t xml:space="preserve">Patient Name</t>
  </si>
  <si>
    <t xml:space="preserve">WILLIAMS, Barbara</t>
  </si>
  <si>
    <t xml:space="preserve">Accession #</t>
  </si>
  <si>
    <t xml:space="preserve">AU-2026-870185</t>
  </si>
  <si>
    <t xml:space="preserve">MRN</t>
  </si>
  <si>
    <t xml:space="preserve">3376955</t>
  </si>
  <si>
    <t xml:space="preserve">Collected</t>
  </si>
  <si>
    <t xml:space="preserve">02/15/2026 08:55</t>
  </si>
  <si>
    <t xml:space="preserve">DOB</t>
  </si>
  <si>
    <t xml:space="preserve">03/11/1964 00:00</t>
  </si>
  <si>
    <t xml:space="preserve">Received</t>
  </si>
  <si>
    <t xml:space="preserve">02/15/2026 12:55</t>
  </si>
  <si>
    <t xml:space="preserve">Age / Sex</t>
  </si>
  <si>
    <t xml:space="preserve">62 / F</t>
  </si>
  <si>
    <t xml:space="preserve">Reported</t>
  </si>
  <si>
    <t xml:space="preserve">02/16/2026 10:55</t>
  </si>
  <si>
    <t xml:space="preserve">Ordering Provider</t>
  </si>
  <si>
    <t xml:space="preserve">David M. Klein, MD</t>
  </si>
  <si>
    <t xml:space="preserve">Specimen</t>
  </si>
  <si>
    <t xml:space="preserve">Nasopharyngeal Swab / EDTA Plasma</t>
  </si>
  <si>
    <t xml:space="preserve">  Abnormal Findings Summary (1)</t>
  </si>
  <si>
    <t xml:space="preserve">Analyte</t>
  </si>
  <si>
    <t xml:space="preserve">Result</t>
  </si>
  <si>
    <t xml:space="preserve">Flag</t>
  </si>
  <si>
    <t xml:space="preserve">Reference</t>
  </si>
  <si>
    <t xml:space="preserve">SARS-CoV-2 (N/ORF1ab)</t>
  </si>
  <si>
    <t xml:space="preserve">Detected</t>
  </si>
  <si>
    <t xml:space="preserve">Abnormal</t>
  </si>
  <si>
    <t xml:space="preserve">This report is electronically verified. Results apply only to the specimen received. See Methodology sheet for assay details and limitations.</t>
  </si>
  <si>
    <t xml:space="preserve">Laboratory Director: Alan M. Ross, MD, PhD, FCAP</t>
  </si>
  <si>
    <t xml:space="preserve">  Patient Demographics</t>
  </si>
  <si>
    <t xml:space="preserve">  Specimen &amp; Order</t>
  </si>
  <si>
    <t xml:space="preserve">Name</t>
  </si>
  <si>
    <t xml:space="preserve">Medical Record #</t>
  </si>
  <si>
    <t xml:space="preserve">Date of Birth</t>
  </si>
  <si>
    <t xml:space="preserve">Provider NPI</t>
  </si>
  <si>
    <t xml:space="preserve">1376893924</t>
  </si>
  <si>
    <t xml:space="preserve">Age</t>
  </si>
  <si>
    <t xml:space="preserve">62</t>
  </si>
  <si>
    <t xml:space="preserve">Specimen Type</t>
  </si>
  <si>
    <t xml:space="preserve">Sex</t>
  </si>
  <si>
    <t xml:space="preserve">F</t>
  </si>
  <si>
    <t xml:space="preserve">Address</t>
  </si>
  <si>
    <t xml:space="preserve">9697 Oak St</t>
  </si>
  <si>
    <t xml:space="preserve">City/State/ZIP</t>
  </si>
  <si>
    <t xml:space="preserve">Boston, MA 02185</t>
  </si>
  <si>
    <t xml:space="preserve">Phone</t>
  </si>
  <si>
    <t xml:space="preserve">(553) 885-1186</t>
  </si>
  <si>
    <t xml:space="preserve">Priority</t>
  </si>
  <si>
    <t xml:space="preserve">Routine</t>
  </si>
  <si>
    <t xml:space="preserve">Fasting Status</t>
  </si>
  <si>
    <t xml:space="preserve">Yes</t>
  </si>
  <si>
    <t xml:space="preserve">  Respiratory Pathogen &amp; Viral Load PCR Panel — Quantitative Results</t>
  </si>
  <si>
    <t xml:space="preserve">Test / Analyte</t>
  </si>
  <si>
    <t xml:space="preserve">Units</t>
  </si>
  <si>
    <t xml:space="preserve">Reference Interval</t>
  </si>
  <si>
    <t xml:space="preserve">Method</t>
  </si>
  <si>
    <t xml:space="preserve">HIV-1 RNA, Quant</t>
  </si>
  <si>
    <t xml:space="preserve">copies/mL</t>
  </si>
  <si>
    <t xml:space="preserve">0 - 20</t>
  </si>
  <si>
    <t xml:space="preserve">RT-PCR (COBAS)</t>
  </si>
  <si>
    <t xml:space="preserve">HCV RNA, Quant</t>
  </si>
  <si>
    <t xml:space="preserve">IU/mL</t>
  </si>
  <si>
    <t xml:space="preserve">0 - 15</t>
  </si>
  <si>
    <t xml:space="preserve">HBV DNA, Quant</t>
  </si>
  <si>
    <t xml:space="preserve">0 - 10</t>
  </si>
  <si>
    <t xml:space="preserve">  Qualitative / Observations</t>
  </si>
  <si>
    <t xml:space="preserve">Parameter</t>
  </si>
  <si>
    <t xml:space="preserve">Interpretation</t>
  </si>
  <si>
    <t xml:space="preserve">Influenza A</t>
  </si>
  <si>
    <t xml:space="preserve">Not Detected</t>
  </si>
  <si>
    <t xml:space="preserve">Within normal limits</t>
  </si>
  <si>
    <t xml:space="preserve">Influenza B</t>
  </si>
  <si>
    <t xml:space="preserve">RSV A/B</t>
  </si>
  <si>
    <t xml:space="preserve">Rhinovirus/Enterovirus</t>
  </si>
  <si>
    <t xml:space="preserve">Adenovirus</t>
  </si>
  <si>
    <t xml:space="preserve">Mycoplasma pneumoniae</t>
  </si>
  <si>
    <t xml:space="preserve">  Real-Time PCR — Cycle Threshold (Ct) Values</t>
  </si>
  <si>
    <t xml:space="preserve">Target</t>
  </si>
  <si>
    <t xml:space="preserve">Ct Value</t>
  </si>
  <si>
    <t xml:space="preserve">Threshold (RFU)</t>
  </si>
  <si>
    <t xml:space="preserve">Call</t>
  </si>
  <si>
    <t xml:space="preserve">10.0</t>
  </si>
  <si>
    <t xml:space="preserve">POS</t>
  </si>
  <si>
    <t xml:space="preserve">N/A</t>
  </si>
  <si>
    <t xml:space="preserve">NEG</t>
  </si>
  <si>
    <t xml:space="preserve">Internal Control (RNase P)</t>
  </si>
  <si>
    <t xml:space="preserve">PASS</t>
  </si>
  <si>
    <t xml:space="preserve">  Reference Intervals &amp; Methodology</t>
  </si>
  <si>
    <t xml:space="preserve">LOINC</t>
  </si>
  <si>
    <t xml:space="preserve">Low</t>
  </si>
  <si>
    <t xml:space="preserve">High</t>
  </si>
  <si>
    <t xml:space="preserve">25836-8</t>
  </si>
  <si>
    <t xml:space="preserve">38180-6</t>
  </si>
  <si>
    <t xml:space="preserve">29615-2</t>
  </si>
  <si>
    <t xml:space="preserve">  Historical Trend — HIV-1 RNA, Quant</t>
  </si>
  <si>
    <t xml:space="preserve">Date</t>
  </si>
  <si>
    <t xml:space="preserve">Ref Low</t>
  </si>
  <si>
    <t xml:space="preserve">Ref High</t>
  </si>
  <si>
    <t xml:space="preserve">2024-11-23</t>
  </si>
  <si>
    <t xml:space="preserve">2025-02-21</t>
  </si>
  <si>
    <t xml:space="preserve">2025-05-22</t>
  </si>
  <si>
    <t xml:space="preserve">2025-08-20</t>
  </si>
  <si>
    <t xml:space="preserve">2025-11-18</t>
  </si>
  <si>
    <t xml:space="preserve">2026-02-16</t>
  </si>
  <si>
    <t xml:space="preserve">  Result Visualization</t>
  </si>
  <si>
    <t xml:space="preserve">  Daily QC Summary (Levey-Jennings)</t>
  </si>
  <si>
    <t xml:space="preserve">Control Material</t>
  </si>
  <si>
    <t xml:space="preserve">Target Mean</t>
  </si>
  <si>
    <t xml:space="preserve">Run 1</t>
  </si>
  <si>
    <t xml:space="preserve">Run 2</t>
  </si>
  <si>
    <t xml:space="preserve">Run 3</t>
  </si>
  <si>
    <t xml:space="preserve">Obs. Mean</t>
  </si>
  <si>
    <t xml:space="preserve">Obs. SD</t>
  </si>
  <si>
    <t xml:space="preserve">%CV</t>
  </si>
  <si>
    <t xml:space="preserve">QC Level 1 (Normal)</t>
  </si>
  <si>
    <t xml:space="preserve">QC Level 2 (Abnormal Low)</t>
  </si>
  <si>
    <t xml:space="preserve">QC Level 3 (Abnormal High)</t>
  </si>
  <si>
    <t xml:space="preserve">Westgard Rules Evaluation:</t>
  </si>
  <si>
    <t xml:space="preserve">1-2s: Warning only  |  1-3s, 2-2s, R-4s: Reject</t>
  </si>
  <si>
    <t xml:space="preserve">Run Status: ACCEPTED</t>
  </si>
  <si>
    <t xml:space="preserve">Reviewed by: Alan M. Ross, MD, PhD, FCAP</t>
  </si>
  <si>
    <t xml:space="preserve">  Methodology, Instrumentation &amp; Disclaimers</t>
  </si>
  <si>
    <t xml:space="preserve">Testing Laboratory</t>
  </si>
  <si>
    <t xml:space="preserve">Aurora Molecular Diagnostics, Austin, TX 78701</t>
  </si>
  <si>
    <t xml:space="preserve">CLIA Certificate</t>
  </si>
  <si>
    <t xml:space="preserve">99D2554810</t>
  </si>
  <si>
    <t xml:space="preserve">Laboratory Director</t>
  </si>
  <si>
    <t xml:space="preserve">Alan M. Ross, MD, PhD, FCAP</t>
  </si>
  <si>
    <t xml:space="preserve">Primary Instrument</t>
  </si>
  <si>
    <t xml:space="preserve">Roche cobas 6800 System</t>
  </si>
  <si>
    <t xml:space="preserve">Accreditation</t>
  </si>
  <si>
    <t xml:space="preserve">CAP / CLIA '88 accredited</t>
  </si>
  <si>
    <t xml:space="preserve">Panel</t>
  </si>
  <si>
    <t xml:space="preserve">Respiratory Pathogen &amp; Viral Load PCR Panel</t>
  </si>
  <si>
    <t xml:space="preserve">Specimen Requirements</t>
  </si>
  <si>
    <t xml:space="preserve">Reference Population</t>
  </si>
  <si>
    <t xml:space="preserve">Adults 18-65, unless otherwise noted</t>
  </si>
  <si>
    <t xml:space="preserve">Method Traceability</t>
  </si>
  <si>
    <t xml:space="preserve">Standardized to CDC/NIST reference materials where applicable</t>
  </si>
  <si>
    <t xml:space="preserve">Interference Notes</t>
  </si>
  <si>
    <t xml:space="preserve">Hemolysis, lipemia and icterus may affect select analytes.</t>
  </si>
  <si>
    <t xml:space="preserve">Result Limitations</t>
  </si>
  <si>
    <t xml:space="preserve">Results should be interpreted in the clinical context by the ordering provider.</t>
  </si>
  <si>
    <t xml:space="preserve">Turnaround Time</t>
  </si>
  <si>
    <t xml:space="preserve">Routine: 24-48 hours from receipt</t>
  </si>
  <si>
    <t xml:space="preserve">Electronic Signature</t>
  </si>
  <si>
    <t xml:space="preserve">Verified — Alan M. Ross, MD, PhD, FCAP</t>
  </si>
  <si>
    <t xml:space="preserve">Disclaimer</t>
  </si>
  <si>
    <t xml:space="preserve">This test was developed and its performance characteristics determined by the performing laboratory. Not evaluated by the FDA where LDT applies.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</si>
</sst>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83593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8359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A237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A237E"/>
      <name val="Arial"/>
      <family val="0"/>
      <charset val="1"/>
    </font>
    <font>
      <b val="true"/>
      <sz val="11"/>
      <color rgb="FF2E7D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83593"/>
        <bgColor rgb="FF1A237E"/>
      </patternFill>
    </fill>
    <fill>
      <patternFill patternType="solid">
        <fgColor rgb="FF1A237E"/>
        <bgColor rgb="FF283593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D9D9D9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A7EBB"/>
      <rgbColor rgb="FF33CCCC"/>
      <rgbColor rgb="FF98B855"/>
      <rgbColor rgb="FFFFCC00"/>
      <rgbColor rgb="FFFF9900"/>
      <rgbColor rgb="FFFF6600"/>
      <rgbColor rgb="FF666666"/>
      <rgbColor rgb="FF888888"/>
      <rgbColor rgb="FF1A237E"/>
      <rgbColor rgb="FF2E7D32"/>
      <rgbColor rgb="FF003300"/>
      <rgbColor rgb="FF333300"/>
      <rgbColor rgb="FF993300"/>
      <rgbColor rgb="FFC0504D"/>
      <rgbColor rgb="FF2835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HIV-1 RNA, Quant (copies/mL) — last 6 results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'Historical Trend'!B3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2024-11-23</c:v>
                </c:pt>
                <c:pt idx="1">
                  <c:v>2025-02-21</c:v>
                </c:pt>
                <c:pt idx="2">
                  <c:v>2025-05-22</c:v>
                </c:pt>
                <c:pt idx="3">
                  <c:v>2025-08-20</c:v>
                </c:pt>
                <c:pt idx="4">
                  <c:v>2025-11-18</c:v>
                </c:pt>
                <c:pt idx="5">
                  <c:v>2026-02-16</c:v>
                </c:pt>
              </c:strCache>
            </c:strRef>
          </c:cat>
          <c:val>
            <c:numRef>
              <c:f>'Historical Trend'!$B$4:$B$9</c:f>
              <c:numCache>
                <c:formatCode>General</c:formatCode>
                <c:ptCount val="6"/>
                <c:pt idx="0">
                  <c:v>14.1</c:v>
                </c:pt>
                <c:pt idx="1">
                  <c:v>11.1</c:v>
                </c:pt>
                <c:pt idx="2">
                  <c:v>10.8</c:v>
                </c:pt>
                <c:pt idx="3">
                  <c:v>12.3</c:v>
                </c:pt>
                <c:pt idx="4">
                  <c:v>12.8</c:v>
                </c:pt>
                <c:pt idx="5">
                  <c:v>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'Historical Trend'!C3</c:f>
              <c:strCache>
                <c:ptCount val="1"/>
                <c:pt idx="0">
                  <c:v>Ref Low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2024-11-23</c:v>
                </c:pt>
                <c:pt idx="1">
                  <c:v>2025-02-21</c:v>
                </c:pt>
                <c:pt idx="2">
                  <c:v>2025-05-22</c:v>
                </c:pt>
                <c:pt idx="3">
                  <c:v>2025-08-20</c:v>
                </c:pt>
                <c:pt idx="4">
                  <c:v>2025-11-18</c:v>
                </c:pt>
                <c:pt idx="5">
                  <c:v>2026-02-16</c:v>
                </c:pt>
              </c:strCache>
            </c:strRef>
          </c:cat>
          <c:val>
            <c:numRef>
              <c:f>'Historical Trend'!$C$4:$C$9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'Historical Trend'!D3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'Historical Trend'!$A$4:$A$9</c:f>
              <c:strCache>
                <c:ptCount val="6"/>
                <c:pt idx="0">
                  <c:v>2024-11-23</c:v>
                </c:pt>
                <c:pt idx="1">
                  <c:v>2025-02-21</c:v>
                </c:pt>
                <c:pt idx="2">
                  <c:v>2025-05-22</c:v>
                </c:pt>
                <c:pt idx="3">
                  <c:v>2025-08-20</c:v>
                </c:pt>
                <c:pt idx="4">
                  <c:v>2025-11-18</c:v>
                </c:pt>
                <c:pt idx="5">
                  <c:v>2026-02-16</c:v>
                </c:pt>
              </c:strCache>
            </c:strRef>
          </c:cat>
          <c:val>
            <c:numRef>
              <c:f>'Historical Trend'!$D$4:$D$9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702922"/>
        <c:axId val="96783585"/>
      </c:lineChart>
      <c:catAx>
        <c:axId val="367029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Collection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783585"/>
        <c:crosses val="autoZero"/>
        <c:auto val="1"/>
        <c:lblAlgn val="ctr"/>
        <c:lblOffset val="100"/>
        <c:noMultiLvlLbl val="0"/>
      </c:catAx>
      <c:valAx>
        <c:axId val="967835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copies/mL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7029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Result vs Upper Reference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'Result Visualization'!B22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Visualization'!$A$23:$A$25</c:f>
              <c:strCache>
                <c:ptCount val="3"/>
                <c:pt idx="0">
                  <c:v>HIV-1 RNA, Quant</c:v>
                </c:pt>
                <c:pt idx="1">
                  <c:v>HCV RNA, Quant</c:v>
                </c:pt>
                <c:pt idx="2">
                  <c:v>HBV DNA, Quant</c:v>
                </c:pt>
              </c:strCache>
            </c:strRef>
          </c:cat>
          <c:val>
            <c:numRef>
              <c:f>'Result Visualization'!$B$23:$B$25</c:f>
              <c:numCache>
                <c:formatCode>General</c:formatCode>
                <c:ptCount val="3"/>
                <c:pt idx="0">
                  <c:v>13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</c:ser>
        <c:ser>
          <c:idx val="1"/>
          <c:order val="1"/>
          <c:tx>
            <c:strRef>
              <c:f>'Result Visualization'!C22</c:f>
              <c:strCache>
                <c:ptCount val="1"/>
                <c:pt idx="0">
                  <c:v>Ref High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'Result Visualization'!$A$23:$A$25</c:f>
              <c:strCache>
                <c:ptCount val="3"/>
                <c:pt idx="0">
                  <c:v>HIV-1 RNA, Quant</c:v>
                </c:pt>
                <c:pt idx="1">
                  <c:v>HCV RNA, Quant</c:v>
                </c:pt>
                <c:pt idx="2">
                  <c:v>HBV DNA, Quant</c:v>
                </c:pt>
              </c:strCache>
            </c:strRef>
          </c:cat>
          <c:val>
            <c:numRef>
              <c:f>'Result Visualization'!$C$23:$C$25</c:f>
              <c:numCache>
                <c:formatCode>General</c:formatCode>
                <c:ptCount val="3"/>
                <c:pt idx="0">
                  <c:v>20</c:v>
                </c:pt>
                <c:pt idx="1">
                  <c:v>15</c:v>
                </c:pt>
                <c:pt idx="2">
                  <c:v>10</c:v>
                </c:pt>
              </c:numCache>
            </c:numRef>
          </c:val>
        </c:ser>
        <c:gapWidth val="150"/>
        <c:overlap val="0"/>
        <c:axId val="60094658"/>
        <c:axId val="22754429"/>
      </c:barChart>
      <c:catAx>
        <c:axId val="60094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54429"/>
        <c:crosses val="autoZero"/>
        <c:auto val="1"/>
        <c:lblAlgn val="ctr"/>
        <c:lblOffset val="100"/>
        <c:noMultiLvlLbl val="0"/>
      </c:catAx>
      <c:valAx>
        <c:axId val="22754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94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3.png"/><Relationship Id="rId3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750240</xdr:colOff>
      <xdr:row>2</xdr:row>
      <xdr:rowOff>228240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3428640" cy="990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15</xdr:col>
      <xdr:colOff>364680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4699800" y="3808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0</xdr:rowOff>
    </xdr:from>
    <xdr:to>
      <xdr:col>12</xdr:col>
      <xdr:colOff>195840</xdr:colOff>
      <xdr:row>31</xdr:row>
      <xdr:rowOff>190440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699800" y="4000680"/>
          <a:ext cx="4476240" cy="2095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21</xdr:row>
      <xdr:rowOff>0</xdr:rowOff>
    </xdr:from>
    <xdr:to>
      <xdr:col>14</xdr:col>
      <xdr:colOff>364320</xdr:colOff>
      <xdr:row>38</xdr:row>
      <xdr:rowOff>1440</xdr:rowOff>
    </xdr:to>
    <xdr:graphicFrame>
      <xdr:nvGraphicFramePr>
        <xdr:cNvPr id="3" name="Chart 1"/>
        <xdr:cNvGraphicFramePr/>
      </xdr:nvGraphicFramePr>
      <xdr:xfrm>
        <a:off x="3666960" y="4000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</xdr:row>
      <xdr:rowOff>0</xdr:rowOff>
    </xdr:from>
    <xdr:to>
      <xdr:col>5</xdr:col>
      <xdr:colOff>483480</xdr:colOff>
      <xdr:row>13</xdr:row>
      <xdr:rowOff>190080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380880"/>
          <a:ext cx="4762080" cy="228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13</xdr:col>
      <xdr:colOff>371160</xdr:colOff>
      <xdr:row>14</xdr:row>
      <xdr:rowOff>190080</xdr:rowOff>
    </xdr:to>
    <xdr:pic>
      <xdr:nvPicPr>
        <xdr:cNvPr id="5" name="Image 3" descr="Picture"/>
        <xdr:cNvPicPr/>
      </xdr:nvPicPr>
      <xdr:blipFill>
        <a:blip r:embed="rId3"/>
        <a:stretch/>
      </xdr:blipFill>
      <xdr:spPr>
        <a:xfrm>
          <a:off x="6113160" y="380880"/>
          <a:ext cx="342864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</cols>
  <sheetData>
    <row r="1" customFormat="false" ht="30" hidden="false" customHeight="true" outlineLevel="0" collapsed="false">
      <c r="F1" s="1" t="s">
        <v>0</v>
      </c>
    </row>
    <row r="2" customFormat="false" ht="30" hidden="false" customHeight="true" outlineLevel="0" collapsed="false">
      <c r="F2" s="2" t="s">
        <v>1</v>
      </c>
    </row>
    <row r="3" customFormat="false" ht="30" hidden="false" customHeight="true" outlineLevel="0" collapsed="false">
      <c r="F3" s="2" t="s">
        <v>2</v>
      </c>
    </row>
    <row r="6" customFormat="false" ht="21.75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8" customFormat="false" ht="15" hidden="false" customHeight="false" outlineLevel="0" collapsed="false">
      <c r="A8" s="4" t="s">
        <v>4</v>
      </c>
      <c r="B8" s="5" t="s">
        <v>5</v>
      </c>
      <c r="E8" s="4" t="s">
        <v>6</v>
      </c>
      <c r="F8" s="5" t="s">
        <v>7</v>
      </c>
    </row>
    <row r="9" customFormat="false" ht="15" hidden="false" customHeight="false" outlineLevel="0" collapsed="false">
      <c r="A9" s="4" t="s">
        <v>8</v>
      </c>
      <c r="B9" s="5" t="s">
        <v>9</v>
      </c>
      <c r="E9" s="4" t="s">
        <v>10</v>
      </c>
      <c r="F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  <c r="E10" s="4" t="s">
        <v>14</v>
      </c>
      <c r="F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  <c r="E11" s="4" t="s">
        <v>18</v>
      </c>
      <c r="F11" s="5" t="s">
        <v>19</v>
      </c>
    </row>
    <row r="12" customFormat="false" ht="15" hidden="false" customHeight="false" outlineLevel="0" collapsed="false">
      <c r="A12" s="4" t="s">
        <v>20</v>
      </c>
      <c r="B12" s="5" t="s">
        <v>21</v>
      </c>
      <c r="E12" s="4" t="s">
        <v>22</v>
      </c>
      <c r="F12" s="5" t="s">
        <v>23</v>
      </c>
    </row>
    <row r="14" customFormat="false" ht="15" hidden="false" customHeight="false" outlineLevel="0" collapsed="false">
      <c r="A14" s="6" t="s">
        <v>24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7" t="s">
        <v>25</v>
      </c>
      <c r="B15" s="8"/>
      <c r="C15" s="8"/>
      <c r="D15" s="7" t="s">
        <v>26</v>
      </c>
      <c r="E15" s="8"/>
      <c r="F15" s="7" t="s">
        <v>27</v>
      </c>
      <c r="G15" s="7" t="s">
        <v>28</v>
      </c>
      <c r="H15" s="8"/>
    </row>
    <row r="16" customFormat="false" ht="15" hidden="false" customHeight="false" outlineLevel="0" collapsed="false">
      <c r="A16" s="9" t="s">
        <v>29</v>
      </c>
      <c r="B16" s="9"/>
      <c r="C16" s="9"/>
      <c r="D16" s="9" t="s">
        <v>30</v>
      </c>
      <c r="E16" s="9"/>
      <c r="F16" s="9" t="s">
        <v>31</v>
      </c>
      <c r="G16" s="9"/>
      <c r="H16" s="9"/>
    </row>
    <row r="18" customFormat="false" ht="15" hidden="false" customHeight="false" outlineLevel="0" collapsed="false">
      <c r="A18" s="10" t="s">
        <v>32</v>
      </c>
      <c r="B18" s="10"/>
      <c r="C18" s="10"/>
      <c r="D18" s="10"/>
      <c r="E18" s="10"/>
      <c r="F18" s="10"/>
      <c r="G18" s="10"/>
      <c r="H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</row>
    <row r="21" customFormat="false" ht="15" hidden="false" customHeight="false" outlineLevel="0" collapsed="false">
      <c r="A21" s="11" t="s">
        <v>33</v>
      </c>
    </row>
  </sheetData>
  <mergeCells count="3">
    <mergeCell ref="A6:H6"/>
    <mergeCell ref="A14:H14"/>
    <mergeCell ref="A18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4" style="0" width="26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12" t="s">
        <v>34</v>
      </c>
      <c r="B1" s="12"/>
      <c r="D1" s="12" t="s">
        <v>35</v>
      </c>
      <c r="E1" s="12"/>
    </row>
    <row r="2" customFormat="false" ht="15" hidden="false" customHeight="false" outlineLevel="0" collapsed="false">
      <c r="A2" s="13" t="s">
        <v>36</v>
      </c>
      <c r="B2" s="14" t="s">
        <v>5</v>
      </c>
      <c r="D2" s="13" t="s">
        <v>6</v>
      </c>
      <c r="E2" s="14" t="s">
        <v>7</v>
      </c>
    </row>
    <row r="3" customFormat="false" ht="15" hidden="false" customHeight="false" outlineLevel="0" collapsed="false">
      <c r="A3" s="13" t="s">
        <v>37</v>
      </c>
      <c r="B3" s="14" t="s">
        <v>9</v>
      </c>
      <c r="D3" s="13" t="s">
        <v>20</v>
      </c>
      <c r="E3" s="14" t="s">
        <v>21</v>
      </c>
    </row>
    <row r="4" customFormat="false" ht="15" hidden="false" customHeight="false" outlineLevel="0" collapsed="false">
      <c r="A4" s="13" t="s">
        <v>38</v>
      </c>
      <c r="B4" s="14" t="s">
        <v>13</v>
      </c>
      <c r="D4" s="13" t="s">
        <v>39</v>
      </c>
      <c r="E4" s="14" t="s">
        <v>40</v>
      </c>
    </row>
    <row r="5" customFormat="false" ht="15" hidden="false" customHeight="false" outlineLevel="0" collapsed="false">
      <c r="A5" s="13" t="s">
        <v>41</v>
      </c>
      <c r="B5" s="14" t="s">
        <v>42</v>
      </c>
      <c r="D5" s="13" t="s">
        <v>43</v>
      </c>
      <c r="E5" s="14" t="s">
        <v>23</v>
      </c>
    </row>
    <row r="6" customFormat="false" ht="15" hidden="false" customHeight="false" outlineLevel="0" collapsed="false">
      <c r="A6" s="13" t="s">
        <v>44</v>
      </c>
      <c r="B6" s="14" t="s">
        <v>45</v>
      </c>
      <c r="D6" s="13" t="s">
        <v>10</v>
      </c>
      <c r="E6" s="14" t="s">
        <v>11</v>
      </c>
    </row>
    <row r="7" customFormat="false" ht="15" hidden="false" customHeight="false" outlineLevel="0" collapsed="false">
      <c r="A7" s="13" t="s">
        <v>46</v>
      </c>
      <c r="B7" s="14" t="s">
        <v>47</v>
      </c>
      <c r="D7" s="13" t="s">
        <v>14</v>
      </c>
      <c r="E7" s="14" t="s">
        <v>15</v>
      </c>
    </row>
    <row r="8" customFormat="false" ht="15" hidden="false" customHeight="false" outlineLevel="0" collapsed="false">
      <c r="A8" s="13" t="s">
        <v>48</v>
      </c>
      <c r="B8" s="14" t="s">
        <v>49</v>
      </c>
      <c r="D8" s="13" t="s">
        <v>18</v>
      </c>
      <c r="E8" s="14" t="s">
        <v>19</v>
      </c>
    </row>
    <row r="9" customFormat="false" ht="15" hidden="false" customHeight="false" outlineLevel="0" collapsed="false">
      <c r="A9" s="13" t="s">
        <v>50</v>
      </c>
      <c r="B9" s="14" t="s">
        <v>51</v>
      </c>
      <c r="D9" s="13" t="s">
        <v>52</v>
      </c>
      <c r="E9" s="14" t="s">
        <v>53</v>
      </c>
    </row>
    <row r="10" customFormat="false" ht="15" hidden="false" customHeight="false" outlineLevel="0" collapsed="false">
      <c r="A10" s="15"/>
      <c r="B10" s="15"/>
      <c r="D10" s="13" t="s">
        <v>54</v>
      </c>
      <c r="E10" s="14" t="s">
        <v>55</v>
      </c>
    </row>
    <row r="11" customFormat="false" ht="15" hidden="false" customHeight="false" outlineLevel="0" collapsed="false">
      <c r="A11" s="15"/>
      <c r="B11" s="15"/>
      <c r="D11" s="15"/>
      <c r="E11" s="15"/>
    </row>
  </sheetData>
  <mergeCells count="2">
    <mergeCell ref="A1:B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19.5" hidden="false" customHeight="true" outlineLevel="0" collapsed="false">
      <c r="A1" s="16" t="s">
        <v>56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17" t="s">
        <v>57</v>
      </c>
      <c r="B3" s="17" t="s">
        <v>26</v>
      </c>
      <c r="C3" s="17" t="s">
        <v>27</v>
      </c>
      <c r="D3" s="17" t="s">
        <v>58</v>
      </c>
      <c r="E3" s="17" t="s">
        <v>59</v>
      </c>
      <c r="F3" s="17" t="s">
        <v>60</v>
      </c>
    </row>
    <row r="4" customFormat="false" ht="15" hidden="false" customHeight="false" outlineLevel="0" collapsed="false">
      <c r="A4" s="14" t="s">
        <v>61</v>
      </c>
      <c r="B4" s="18" t="n">
        <v>13</v>
      </c>
      <c r="C4" s="18"/>
      <c r="D4" s="14" t="s">
        <v>62</v>
      </c>
      <c r="E4" s="14" t="s">
        <v>63</v>
      </c>
      <c r="F4" s="14" t="s">
        <v>64</v>
      </c>
    </row>
    <row r="5" customFormat="false" ht="15" hidden="false" customHeight="false" outlineLevel="0" collapsed="false">
      <c r="A5" s="14" t="s">
        <v>65</v>
      </c>
      <c r="B5" s="18" t="n">
        <v>9</v>
      </c>
      <c r="C5" s="18"/>
      <c r="D5" s="14" t="s">
        <v>66</v>
      </c>
      <c r="E5" s="14" t="s">
        <v>67</v>
      </c>
      <c r="F5" s="14" t="s">
        <v>64</v>
      </c>
    </row>
    <row r="6" customFormat="false" ht="15" hidden="false" customHeight="false" outlineLevel="0" collapsed="false">
      <c r="A6" s="14" t="s">
        <v>68</v>
      </c>
      <c r="B6" s="18" t="n">
        <v>6</v>
      </c>
      <c r="C6" s="18"/>
      <c r="D6" s="14" t="s">
        <v>66</v>
      </c>
      <c r="E6" s="14" t="s">
        <v>69</v>
      </c>
      <c r="F6" s="14" t="s">
        <v>64</v>
      </c>
    </row>
    <row r="8" customFormat="false" ht="15" hidden="false" customHeight="false" outlineLevel="0" collapsed="false">
      <c r="A8" s="19" t="s">
        <v>70</v>
      </c>
      <c r="B8" s="19"/>
      <c r="C8" s="19"/>
      <c r="D8" s="19"/>
      <c r="E8" s="19"/>
      <c r="F8" s="19"/>
    </row>
    <row r="9" customFormat="false" ht="15" hidden="false" customHeight="false" outlineLevel="0" collapsed="false">
      <c r="A9" s="20" t="s">
        <v>71</v>
      </c>
      <c r="B9" s="20" t="s">
        <v>26</v>
      </c>
      <c r="C9" s="20" t="s">
        <v>72</v>
      </c>
    </row>
    <row r="10" customFormat="false" ht="15" hidden="false" customHeight="false" outlineLevel="0" collapsed="false">
      <c r="A10" s="21" t="s">
        <v>29</v>
      </c>
      <c r="B10" s="21" t="s">
        <v>30</v>
      </c>
      <c r="C10" s="21" t="s">
        <v>31</v>
      </c>
    </row>
    <row r="11" customFormat="false" ht="15" hidden="false" customHeight="false" outlineLevel="0" collapsed="false">
      <c r="A11" s="15" t="s">
        <v>73</v>
      </c>
      <c r="B11" s="15" t="s">
        <v>74</v>
      </c>
      <c r="C11" s="15" t="s">
        <v>75</v>
      </c>
    </row>
    <row r="12" customFormat="false" ht="15" hidden="false" customHeight="false" outlineLevel="0" collapsed="false">
      <c r="A12" s="15" t="s">
        <v>76</v>
      </c>
      <c r="B12" s="15" t="s">
        <v>74</v>
      </c>
      <c r="C12" s="15" t="s">
        <v>75</v>
      </c>
    </row>
    <row r="13" customFormat="false" ht="15" hidden="false" customHeight="false" outlineLevel="0" collapsed="false">
      <c r="A13" s="15" t="s">
        <v>77</v>
      </c>
      <c r="B13" s="15" t="s">
        <v>74</v>
      </c>
      <c r="C13" s="15" t="s">
        <v>75</v>
      </c>
    </row>
    <row r="14" customFormat="false" ht="15" hidden="false" customHeight="false" outlineLevel="0" collapsed="false">
      <c r="A14" s="15" t="s">
        <v>78</v>
      </c>
      <c r="B14" s="15" t="s">
        <v>74</v>
      </c>
      <c r="C14" s="15" t="s">
        <v>75</v>
      </c>
    </row>
    <row r="15" customFormat="false" ht="15" hidden="false" customHeight="false" outlineLevel="0" collapsed="false">
      <c r="A15" s="15" t="s">
        <v>79</v>
      </c>
      <c r="B15" s="15" t="s">
        <v>74</v>
      </c>
      <c r="C15" s="15" t="s">
        <v>75</v>
      </c>
    </row>
    <row r="16" customFormat="false" ht="15" hidden="false" customHeight="false" outlineLevel="0" collapsed="false">
      <c r="A16" s="15" t="s">
        <v>80</v>
      </c>
      <c r="B16" s="15" t="s">
        <v>74</v>
      </c>
      <c r="C16" s="15" t="s">
        <v>75</v>
      </c>
    </row>
  </sheetData>
  <mergeCells count="2">
    <mergeCell ref="A1:F1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5" min="4" style="0" width="18"/>
  </cols>
  <sheetData>
    <row r="1" customFormat="false" ht="15" hidden="false" customHeight="false" outlineLevel="0" collapsed="false">
      <c r="A1" s="16" t="s">
        <v>81</v>
      </c>
      <c r="B1" s="16"/>
      <c r="C1" s="16"/>
      <c r="D1" s="16"/>
      <c r="E1" s="16"/>
    </row>
    <row r="3" customFormat="false" ht="15" hidden="false" customHeight="false" outlineLevel="0" collapsed="false">
      <c r="A3" s="20" t="s">
        <v>82</v>
      </c>
      <c r="B3" s="20" t="s">
        <v>26</v>
      </c>
      <c r="C3" s="20" t="s">
        <v>83</v>
      </c>
      <c r="D3" s="20" t="s">
        <v>84</v>
      </c>
      <c r="E3" s="20" t="s">
        <v>85</v>
      </c>
    </row>
    <row r="4" customFormat="false" ht="15" hidden="false" customHeight="false" outlineLevel="0" collapsed="false">
      <c r="A4" s="22" t="s">
        <v>29</v>
      </c>
      <c r="B4" s="22" t="s">
        <v>30</v>
      </c>
      <c r="C4" s="22" t="n">
        <v>27</v>
      </c>
      <c r="D4" s="22" t="s">
        <v>86</v>
      </c>
      <c r="E4" s="22" t="s">
        <v>87</v>
      </c>
    </row>
    <row r="5" customFormat="false" ht="15" hidden="false" customHeight="false" outlineLevel="0" collapsed="false">
      <c r="A5" s="15" t="s">
        <v>73</v>
      </c>
      <c r="B5" s="15" t="s">
        <v>74</v>
      </c>
      <c r="C5" s="15" t="s">
        <v>88</v>
      </c>
      <c r="D5" s="15" t="s">
        <v>86</v>
      </c>
      <c r="E5" s="15" t="s">
        <v>89</v>
      </c>
    </row>
    <row r="6" customFormat="false" ht="15" hidden="false" customHeight="false" outlineLevel="0" collapsed="false">
      <c r="A6" s="15" t="s">
        <v>76</v>
      </c>
      <c r="B6" s="15" t="s">
        <v>74</v>
      </c>
      <c r="C6" s="15" t="s">
        <v>88</v>
      </c>
      <c r="D6" s="15" t="s">
        <v>86</v>
      </c>
      <c r="E6" s="15" t="s">
        <v>89</v>
      </c>
    </row>
    <row r="7" customFormat="false" ht="15" hidden="false" customHeight="false" outlineLevel="0" collapsed="false">
      <c r="A7" s="15" t="s">
        <v>77</v>
      </c>
      <c r="B7" s="15" t="s">
        <v>74</v>
      </c>
      <c r="C7" s="15" t="s">
        <v>88</v>
      </c>
      <c r="D7" s="15" t="s">
        <v>86</v>
      </c>
      <c r="E7" s="15" t="s">
        <v>89</v>
      </c>
    </row>
    <row r="8" customFormat="false" ht="15" hidden="false" customHeight="false" outlineLevel="0" collapsed="false">
      <c r="A8" s="15" t="s">
        <v>78</v>
      </c>
      <c r="B8" s="15" t="s">
        <v>74</v>
      </c>
      <c r="C8" s="15" t="s">
        <v>88</v>
      </c>
      <c r="D8" s="15" t="s">
        <v>86</v>
      </c>
      <c r="E8" s="15" t="s">
        <v>89</v>
      </c>
    </row>
    <row r="9" customFormat="false" ht="15" hidden="false" customHeight="false" outlineLevel="0" collapsed="false">
      <c r="A9" s="15" t="s">
        <v>79</v>
      </c>
      <c r="B9" s="15" t="s">
        <v>74</v>
      </c>
      <c r="C9" s="15" t="s">
        <v>88</v>
      </c>
      <c r="D9" s="15" t="s">
        <v>86</v>
      </c>
      <c r="E9" s="15" t="s">
        <v>89</v>
      </c>
    </row>
    <row r="10" customFormat="false" ht="15" hidden="false" customHeight="false" outlineLevel="0" collapsed="false">
      <c r="A10" s="15" t="s">
        <v>80</v>
      </c>
      <c r="B10" s="15" t="s">
        <v>74</v>
      </c>
      <c r="C10" s="15" t="s">
        <v>88</v>
      </c>
      <c r="D10" s="15" t="s">
        <v>86</v>
      </c>
      <c r="E10" s="15" t="s">
        <v>89</v>
      </c>
    </row>
    <row r="12" customFormat="false" ht="15" hidden="false" customHeight="false" outlineLevel="0" collapsed="false">
      <c r="A12" s="23" t="s">
        <v>90</v>
      </c>
      <c r="C12" s="0" t="n">
        <v>28</v>
      </c>
      <c r="E12" s="24" t="s">
        <v>91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6" t="s">
        <v>92</v>
      </c>
      <c r="B1" s="16"/>
      <c r="C1" s="16"/>
      <c r="D1" s="16"/>
      <c r="E1" s="16"/>
      <c r="F1" s="16"/>
    </row>
    <row r="3" customFormat="false" ht="15" hidden="false" customHeight="false" outlineLevel="0" collapsed="false">
      <c r="A3" s="25" t="s">
        <v>25</v>
      </c>
      <c r="B3" s="25" t="s">
        <v>93</v>
      </c>
      <c r="C3" s="25" t="s">
        <v>58</v>
      </c>
      <c r="D3" s="25" t="s">
        <v>94</v>
      </c>
      <c r="E3" s="25" t="s">
        <v>95</v>
      </c>
      <c r="F3" s="25" t="s">
        <v>60</v>
      </c>
    </row>
    <row r="4" customFormat="false" ht="15" hidden="false" customHeight="false" outlineLevel="0" collapsed="false">
      <c r="A4" s="26" t="s">
        <v>61</v>
      </c>
      <c r="B4" s="26" t="s">
        <v>96</v>
      </c>
      <c r="C4" s="26" t="s">
        <v>62</v>
      </c>
      <c r="D4" s="26" t="n">
        <v>0</v>
      </c>
      <c r="E4" s="26" t="n">
        <v>20</v>
      </c>
      <c r="F4" s="26" t="s">
        <v>64</v>
      </c>
    </row>
    <row r="5" customFormat="false" ht="15" hidden="false" customHeight="false" outlineLevel="0" collapsed="false">
      <c r="A5" s="26" t="s">
        <v>65</v>
      </c>
      <c r="B5" s="26" t="s">
        <v>97</v>
      </c>
      <c r="C5" s="26" t="s">
        <v>66</v>
      </c>
      <c r="D5" s="26" t="n">
        <v>0</v>
      </c>
      <c r="E5" s="26" t="n">
        <v>15</v>
      </c>
      <c r="F5" s="26" t="s">
        <v>64</v>
      </c>
    </row>
    <row r="6" customFormat="false" ht="15" hidden="false" customHeight="false" outlineLevel="0" collapsed="false">
      <c r="A6" s="26" t="s">
        <v>68</v>
      </c>
      <c r="B6" s="26" t="s">
        <v>98</v>
      </c>
      <c r="C6" s="26" t="s">
        <v>66</v>
      </c>
      <c r="D6" s="26" t="n">
        <v>0</v>
      </c>
      <c r="E6" s="26" t="n">
        <v>10</v>
      </c>
      <c r="F6" s="26" t="s">
        <v>64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</cols>
  <sheetData>
    <row r="1" customFormat="false" ht="15" hidden="false" customHeight="false" outlineLevel="0" collapsed="false">
      <c r="A1" s="16" t="s">
        <v>99</v>
      </c>
      <c r="B1" s="16"/>
      <c r="C1" s="16"/>
      <c r="D1" s="16"/>
    </row>
    <row r="3" customFormat="false" ht="15" hidden="false" customHeight="false" outlineLevel="0" collapsed="false">
      <c r="A3" s="20" t="s">
        <v>100</v>
      </c>
      <c r="B3" s="20" t="s">
        <v>26</v>
      </c>
      <c r="C3" s="20" t="s">
        <v>101</v>
      </c>
      <c r="D3" s="20" t="s">
        <v>102</v>
      </c>
    </row>
    <row r="4" customFormat="false" ht="15" hidden="false" customHeight="false" outlineLevel="0" collapsed="false">
      <c r="A4" s="0" t="s">
        <v>103</v>
      </c>
      <c r="B4" s="0" t="n">
        <v>14.1</v>
      </c>
      <c r="C4" s="0" t="n">
        <v>0</v>
      </c>
      <c r="D4" s="0" t="n">
        <v>20</v>
      </c>
    </row>
    <row r="5" customFormat="false" ht="15" hidden="false" customHeight="false" outlineLevel="0" collapsed="false">
      <c r="A5" s="0" t="s">
        <v>104</v>
      </c>
      <c r="B5" s="0" t="n">
        <v>11.1</v>
      </c>
      <c r="C5" s="0" t="n">
        <v>0</v>
      </c>
      <c r="D5" s="0" t="n">
        <v>20</v>
      </c>
    </row>
    <row r="6" customFormat="false" ht="15" hidden="false" customHeight="false" outlineLevel="0" collapsed="false">
      <c r="A6" s="0" t="s">
        <v>105</v>
      </c>
      <c r="B6" s="0" t="n">
        <v>10.8</v>
      </c>
      <c r="C6" s="0" t="n">
        <v>0</v>
      </c>
      <c r="D6" s="0" t="n">
        <v>20</v>
      </c>
    </row>
    <row r="7" customFormat="false" ht="15" hidden="false" customHeight="false" outlineLevel="0" collapsed="false">
      <c r="A7" s="0" t="s">
        <v>106</v>
      </c>
      <c r="B7" s="0" t="n">
        <v>12.3</v>
      </c>
      <c r="C7" s="0" t="n">
        <v>0</v>
      </c>
      <c r="D7" s="0" t="n">
        <v>20</v>
      </c>
    </row>
    <row r="8" customFormat="false" ht="15" hidden="false" customHeight="false" outlineLevel="0" collapsed="false">
      <c r="A8" s="0" t="s">
        <v>107</v>
      </c>
      <c r="B8" s="0" t="n">
        <v>12.8</v>
      </c>
      <c r="C8" s="0" t="n">
        <v>0</v>
      </c>
      <c r="D8" s="0" t="n">
        <v>20</v>
      </c>
    </row>
    <row r="9" customFormat="false" ht="15" hidden="false" customHeight="false" outlineLevel="0" collapsed="false">
      <c r="A9" s="0" t="s">
        <v>108</v>
      </c>
      <c r="B9" s="0" t="n">
        <v>13</v>
      </c>
      <c r="C9" s="0" t="n">
        <v>0</v>
      </c>
      <c r="D9" s="0" t="n">
        <v>20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</cols>
  <sheetData>
    <row r="1" customFormat="false" ht="15" hidden="false" customHeight="false" outlineLevel="0" collapsed="false">
      <c r="A1" s="16" t="s">
        <v>109</v>
      </c>
      <c r="B1" s="16"/>
      <c r="C1" s="16"/>
      <c r="D1" s="16"/>
      <c r="E1" s="16"/>
      <c r="F1" s="16"/>
    </row>
    <row r="22" customFormat="false" ht="15" hidden="false" customHeight="false" outlineLevel="0" collapsed="false">
      <c r="A22" s="20" t="s">
        <v>25</v>
      </c>
      <c r="B22" s="20" t="s">
        <v>26</v>
      </c>
      <c r="C22" s="20" t="s">
        <v>102</v>
      </c>
    </row>
    <row r="23" customFormat="false" ht="15" hidden="false" customHeight="false" outlineLevel="0" collapsed="false">
      <c r="A23" s="0" t="s">
        <v>61</v>
      </c>
      <c r="B23" s="0" t="n">
        <v>13</v>
      </c>
      <c r="C23" s="0" t="n">
        <v>20</v>
      </c>
    </row>
    <row r="24" customFormat="false" ht="15" hidden="false" customHeight="false" outlineLevel="0" collapsed="false">
      <c r="A24" s="0" t="s">
        <v>65</v>
      </c>
      <c r="B24" s="0" t="n">
        <v>9</v>
      </c>
      <c r="C24" s="0" t="n">
        <v>15</v>
      </c>
    </row>
    <row r="25" customFormat="false" ht="15" hidden="false" customHeight="false" outlineLevel="0" collapsed="false">
      <c r="A25" s="0" t="s">
        <v>68</v>
      </c>
      <c r="B25" s="0" t="n">
        <v>6</v>
      </c>
      <c r="C25" s="0" t="n">
        <v>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6" t="s">
        <v>110</v>
      </c>
      <c r="B1" s="16"/>
      <c r="C1" s="16"/>
      <c r="D1" s="16"/>
      <c r="E1" s="16"/>
      <c r="F1" s="16"/>
      <c r="G1" s="16"/>
      <c r="H1" s="16"/>
    </row>
    <row r="3" customFormat="false" ht="15" hidden="false" customHeight="false" outlineLevel="0" collapsed="false">
      <c r="A3" s="25" t="s">
        <v>111</v>
      </c>
      <c r="B3" s="25" t="s">
        <v>112</v>
      </c>
      <c r="C3" s="25" t="s">
        <v>113</v>
      </c>
      <c r="D3" s="25" t="s">
        <v>114</v>
      </c>
      <c r="E3" s="25" t="s">
        <v>115</v>
      </c>
      <c r="F3" s="25" t="s">
        <v>116</v>
      </c>
      <c r="G3" s="25" t="s">
        <v>117</v>
      </c>
      <c r="H3" s="25" t="s">
        <v>118</v>
      </c>
    </row>
    <row r="4" customFormat="false" ht="15" hidden="false" customHeight="false" outlineLevel="0" collapsed="false">
      <c r="A4" s="15" t="s">
        <v>119</v>
      </c>
      <c r="B4" s="15" t="n">
        <v>44.14</v>
      </c>
      <c r="C4" s="15" t="n">
        <v>45</v>
      </c>
      <c r="D4" s="15" t="n">
        <v>44.33</v>
      </c>
      <c r="E4" s="15" t="n">
        <v>44.38</v>
      </c>
      <c r="F4" s="15" t="n">
        <f aca="false">AVERAGE(C4:E4)</f>
        <v>44.57</v>
      </c>
      <c r="G4" s="15" t="n">
        <f aca="false">STDEV(C4:E4)</f>
        <v>0.37322915213043</v>
      </c>
      <c r="H4" s="27" t="n">
        <f aca="false">IF(F4=0,0,G4/F4*100)</f>
        <v>0.837399937470115</v>
      </c>
    </row>
    <row r="5" customFormat="false" ht="15" hidden="false" customHeight="false" outlineLevel="0" collapsed="false">
      <c r="A5" s="15" t="s">
        <v>120</v>
      </c>
      <c r="B5" s="15" t="n">
        <v>69.98</v>
      </c>
      <c r="C5" s="15" t="n">
        <v>68.97</v>
      </c>
      <c r="D5" s="15" t="n">
        <v>72.16</v>
      </c>
      <c r="E5" s="15" t="n">
        <v>68.42</v>
      </c>
      <c r="F5" s="15" t="n">
        <f aca="false">AVERAGE(C5:E5)</f>
        <v>69.85</v>
      </c>
      <c r="G5" s="15" t="n">
        <f aca="false">STDEV(C5:E5)</f>
        <v>2.01933157257544</v>
      </c>
      <c r="H5" s="27" t="n">
        <f aca="false">IF(F5=0,0,G5/F5*100)</f>
        <v>2.89095429144658</v>
      </c>
    </row>
    <row r="6" customFormat="false" ht="15" hidden="false" customHeight="false" outlineLevel="0" collapsed="false">
      <c r="A6" s="15" t="s">
        <v>121</v>
      </c>
      <c r="B6" s="15" t="n">
        <v>73.76</v>
      </c>
      <c r="C6" s="15" t="n">
        <v>73.91</v>
      </c>
      <c r="D6" s="15" t="n">
        <v>76.36</v>
      </c>
      <c r="E6" s="15" t="n">
        <v>72.08</v>
      </c>
      <c r="F6" s="15" t="n">
        <f aca="false">AVERAGE(C6:E6)</f>
        <v>74.1166666666667</v>
      </c>
      <c r="G6" s="15" t="n">
        <f aca="false">STDEV(C6:E6)</f>
        <v>2.14747138126061</v>
      </c>
      <c r="H6" s="27" t="n">
        <f aca="false">IF(F6=0,0,G6/F6*100)</f>
        <v>2.89742034800172</v>
      </c>
    </row>
    <row r="8" customFormat="false" ht="15" hidden="false" customHeight="false" outlineLevel="0" collapsed="false">
      <c r="A8" s="28" t="s">
        <v>122</v>
      </c>
    </row>
    <row r="9" customFormat="false" ht="15" hidden="false" customHeight="false" outlineLevel="0" collapsed="false">
      <c r="A9" s="29" t="s">
        <v>123</v>
      </c>
    </row>
    <row r="10" customFormat="false" ht="15" hidden="false" customHeight="false" outlineLevel="0" collapsed="false">
      <c r="A10" s="30" t="s">
        <v>124</v>
      </c>
    </row>
    <row r="11" customFormat="false" ht="15" hidden="false" customHeight="false" outlineLevel="0" collapsed="false">
      <c r="A11" s="29" t="s">
        <v>125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6" t="s">
        <v>126</v>
      </c>
      <c r="B1" s="16"/>
    </row>
    <row r="3" customFormat="false" ht="15" hidden="false" customHeight="false" outlineLevel="0" collapsed="false">
      <c r="A3" s="13" t="s">
        <v>127</v>
      </c>
      <c r="B3" s="31" t="s">
        <v>128</v>
      </c>
    </row>
    <row r="4" customFormat="false" ht="15" hidden="false" customHeight="false" outlineLevel="0" collapsed="false">
      <c r="A4" s="13" t="s">
        <v>129</v>
      </c>
      <c r="B4" s="31" t="s">
        <v>130</v>
      </c>
    </row>
    <row r="5" customFormat="false" ht="15" hidden="false" customHeight="false" outlineLevel="0" collapsed="false">
      <c r="A5" s="13" t="s">
        <v>131</v>
      </c>
      <c r="B5" s="31" t="s">
        <v>132</v>
      </c>
    </row>
    <row r="6" customFormat="false" ht="15" hidden="false" customHeight="false" outlineLevel="0" collapsed="false">
      <c r="A6" s="13" t="s">
        <v>133</v>
      </c>
      <c r="B6" s="31" t="s">
        <v>134</v>
      </c>
    </row>
    <row r="7" customFormat="false" ht="15" hidden="false" customHeight="false" outlineLevel="0" collapsed="false">
      <c r="A7" s="13" t="s">
        <v>135</v>
      </c>
      <c r="B7" s="31" t="s">
        <v>136</v>
      </c>
    </row>
    <row r="8" customFormat="false" ht="15" hidden="false" customHeight="false" outlineLevel="0" collapsed="false">
      <c r="A8" s="13" t="s">
        <v>137</v>
      </c>
      <c r="B8" s="31" t="s">
        <v>138</v>
      </c>
    </row>
    <row r="9" customFormat="false" ht="15" hidden="false" customHeight="false" outlineLevel="0" collapsed="false">
      <c r="A9" s="13" t="s">
        <v>139</v>
      </c>
      <c r="B9" s="31" t="s">
        <v>23</v>
      </c>
    </row>
    <row r="10" customFormat="false" ht="15" hidden="false" customHeight="false" outlineLevel="0" collapsed="false">
      <c r="A10" s="13" t="s">
        <v>140</v>
      </c>
      <c r="B10" s="31" t="s">
        <v>141</v>
      </c>
    </row>
    <row r="11" customFormat="false" ht="15" hidden="false" customHeight="false" outlineLevel="0" collapsed="false">
      <c r="A11" s="13" t="s">
        <v>142</v>
      </c>
      <c r="B11" s="31" t="s">
        <v>143</v>
      </c>
    </row>
    <row r="12" customFormat="false" ht="15" hidden="false" customHeight="false" outlineLevel="0" collapsed="false">
      <c r="A12" s="13" t="s">
        <v>144</v>
      </c>
      <c r="B12" s="31" t="s">
        <v>145</v>
      </c>
    </row>
    <row r="13" customFormat="false" ht="15" hidden="false" customHeight="false" outlineLevel="0" collapsed="false">
      <c r="A13" s="13" t="s">
        <v>146</v>
      </c>
      <c r="B13" s="31" t="s">
        <v>147</v>
      </c>
    </row>
    <row r="14" customFormat="false" ht="15" hidden="false" customHeight="false" outlineLevel="0" collapsed="false">
      <c r="A14" s="13" t="s">
        <v>148</v>
      </c>
      <c r="B14" s="31" t="s">
        <v>149</v>
      </c>
    </row>
    <row r="15" customFormat="false" ht="15" hidden="false" customHeight="false" outlineLevel="0" collapsed="false">
      <c r="A15" s="13" t="s">
        <v>150</v>
      </c>
      <c r="B15" s="31" t="s">
        <v>151</v>
      </c>
    </row>
    <row r="16" customFormat="false" ht="23.85" hidden="false" customHeight="false" outlineLevel="0" collapsed="false">
      <c r="A16" s="13" t="s">
        <v>152</v>
      </c>
      <c r="B16" s="31" t="s">
        <v>153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2026-07-10T11:39:55Z</dcterms:created>
  <dc:creator>openpyxl</dc:creator>
  <dc:description/>
  <dc:language>en-US</dc:language>
  <cp:lastModifiedBy/>
  <dcterms:modified xsi:type="dcterms:W3CDTF">2026-07-10T11:39:57Z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