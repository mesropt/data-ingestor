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tient Info" sheetId="2" state="visible" r:id="rId4"/>
    <sheet name="Endocrine Results" sheetId="3" state="visible" r:id="rId5"/>
    <sheet name="Reference Ranges" sheetId="4" state="visible" r:id="rId6"/>
    <sheet name="Historical Trend" sheetId="5" state="visible" r:id="rId7"/>
    <sheet name="Result Visualization" sheetId="6" state="visible" r:id="rId8"/>
    <sheet name="Quality Control" sheetId="7" state="visible" r:id="rId9"/>
    <sheet name="Methodology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<sst xmlns="http://schemas.openxmlformats.org/spreadsheetml/2006/main" count="234" uniqueCount="157">
  <si>
    <t xml:space="preserve">LABORATORY REPORT</t>
  </si>
  <si>
    <t xml:space="preserve">CLIA #: 05D2210567</t>
  </si>
  <si>
    <t xml:space="preserve">Phoenix, AZ 85004</t>
  </si>
  <si>
    <t xml:space="preserve">  Thyroid &amp; Endocrine Function Panel</t>
  </si>
  <si>
    <t xml:space="preserve">Patient Name</t>
  </si>
  <si>
    <t xml:space="preserve">LOPEZ, Sarah</t>
  </si>
  <si>
    <t xml:space="preserve">Accession #</t>
  </si>
  <si>
    <t xml:space="preserve">VS-2026-852193</t>
  </si>
  <si>
    <t xml:space="preserve">MRN</t>
  </si>
  <si>
    <t xml:space="preserve">8494739</t>
  </si>
  <si>
    <t xml:space="preserve">Collected</t>
  </si>
  <si>
    <t xml:space="preserve">May 13, 2026</t>
  </si>
  <si>
    <t xml:space="preserve">DOB</t>
  </si>
  <si>
    <t xml:space="preserve">Nov 13, 1974</t>
  </si>
  <si>
    <t xml:space="preserve">Received</t>
  </si>
  <si>
    <t xml:space="preserve">Age / Sex</t>
  </si>
  <si>
    <t xml:space="preserve">52 / F</t>
  </si>
  <si>
    <t xml:space="preserve">Reported</t>
  </si>
  <si>
    <t xml:space="preserve">May 15, 2026</t>
  </si>
  <si>
    <t xml:space="preserve">Ordering Provider</t>
  </si>
  <si>
    <t xml:space="preserve">Robert J. Nguyen, DO</t>
  </si>
  <si>
    <t xml:space="preserve">Specimen</t>
  </si>
  <si>
    <t xml:space="preserve">Serum (SST, Gold Top)</t>
  </si>
  <si>
    <t xml:space="preserve">  Abnormal Findings Summary (1)</t>
  </si>
  <si>
    <t xml:space="preserve">Analyte</t>
  </si>
  <si>
    <t xml:space="preserve">Result</t>
  </si>
  <si>
    <t xml:space="preserve">Flag</t>
  </si>
  <si>
    <t xml:space="preserve">Reference</t>
  </si>
  <si>
    <t xml:space="preserve">Cortisol, AM</t>
  </si>
  <si>
    <t xml:space="preserve">27.2 ug/dL</t>
  </si>
  <si>
    <t xml:space="preserve">**</t>
  </si>
  <si>
    <t xml:space="preserve">6.2 - 19.4</t>
  </si>
  <si>
    <t xml:space="preserve">This report is electronically verified. Results apply only to the specimen received. See Methodology sheet for assay details and limitations.</t>
  </si>
  <si>
    <t xml:space="preserve">Laboratory Director: Nina P. Sokolova, MD,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</si>
  <si>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</si>
  <si>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</si>
  <si>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</si>
  <si>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</si>
  <si>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</si>
  <si>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</si>
  <si>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1610611510</t>
  </si>
  <si>
    <t xml:space="preserve">Age</t>
  </si>
  <si>
    <t xml:space="preserve">52</t>
  </si>
  <si>
    <t xml:space="preserve">Specimen Type</t>
  </si>
  <si>
    <t xml:space="preserve">Sex</t>
  </si>
  <si>
    <t xml:space="preserve">F</t>
  </si>
  <si>
    <t xml:space="preserve">Address</t>
  </si>
  <si>
    <t xml:space="preserve">8845 Elm St</t>
  </si>
  <si>
    <t xml:space="preserve">City/State/ZIP</t>
  </si>
  <si>
    <t xml:space="preserve">Portland, OR 97261</t>
  </si>
  <si>
    <t xml:space="preserve">Phone</t>
  </si>
  <si>
    <t xml:space="preserve">(226) 905-6487</t>
  </si>
  <si>
    <t xml:space="preserve">Priority</t>
  </si>
  <si>
    <t xml:space="preserve">Routine</t>
  </si>
  <si>
    <t xml:space="preserve">Fasting Status</t>
  </si>
  <si>
    <t xml:space="preserve">Yes</t>
  </si>
  <si>
    <t xml:space="preserve">  Thyroid &amp; Endocrine Function Panel — Quantitative Results</t>
  </si>
  <si>
    <t xml:space="preserve">Test / Analyte</t>
  </si>
  <si>
    <t xml:space="preserve">Reference Interval</t>
  </si>
  <si>
    <t xml:space="preserve">Units</t>
  </si>
  <si>
    <t xml:space="preserve">Method</t>
  </si>
  <si>
    <t xml:space="preserve">TSH</t>
  </si>
  <si>
    <t xml:space="preserve">0.40 - 4.00</t>
  </si>
  <si>
    <t xml:space="preserve">mIU/L</t>
  </si>
  <si>
    <t xml:space="preserve">ECLIA (3rd gen)</t>
  </si>
  <si>
    <t xml:space="preserve">Free T4</t>
  </si>
  <si>
    <t xml:space="preserve">0.80 - 1.80</t>
  </si>
  <si>
    <t xml:space="preserve">ng/dL</t>
  </si>
  <si>
    <t xml:space="preserve">ECLIA</t>
  </si>
  <si>
    <t xml:space="preserve">Free T3</t>
  </si>
  <si>
    <t xml:space="preserve">2.30 - 4.20</t>
  </si>
  <si>
    <t xml:space="preserve">pg/mL</t>
  </si>
  <si>
    <t xml:space="preserve">Total T4</t>
  </si>
  <si>
    <t xml:space="preserve">4.5 - 11.7</t>
  </si>
  <si>
    <t xml:space="preserve">ug/dL</t>
  </si>
  <si>
    <t xml:space="preserve">Total T3</t>
  </si>
  <si>
    <t xml:space="preserve">80 - 200</t>
  </si>
  <si>
    <t xml:space="preserve">Thyroid Peroxidase Ab</t>
  </si>
  <si>
    <t xml:space="preserve">0 - 9</t>
  </si>
  <si>
    <t xml:space="preserve">IU/mL</t>
  </si>
  <si>
    <t xml:space="preserve">Thyroglobulin Ab</t>
  </si>
  <si>
    <t xml:space="preserve">0 - 4</t>
  </si>
  <si>
    <t xml:space="preserve">Prolactin</t>
  </si>
  <si>
    <t xml:space="preserve">4.0 - 15.2</t>
  </si>
  <si>
    <t xml:space="preserve">ng/mL</t>
  </si>
  <si>
    <t xml:space="preserve">Vitamin D, 25-OH</t>
  </si>
  <si>
    <t xml:space="preserve">30 - 100</t>
  </si>
  <si>
    <t xml:space="preserve">LC-MS/MS</t>
  </si>
  <si>
    <t xml:space="preserve">  Reference Intervals &amp; Methodology</t>
  </si>
  <si>
    <t xml:space="preserve">LOINC</t>
  </si>
  <si>
    <t xml:space="preserve">Low</t>
  </si>
  <si>
    <t xml:space="preserve">High</t>
  </si>
  <si>
    <t xml:space="preserve">3016-3</t>
  </si>
  <si>
    <t xml:space="preserve">3024-7</t>
  </si>
  <si>
    <t xml:space="preserve">3051-0</t>
  </si>
  <si>
    <t xml:space="preserve">3026-2</t>
  </si>
  <si>
    <t xml:space="preserve">3053-6</t>
  </si>
  <si>
    <t xml:space="preserve">8099-4</t>
  </si>
  <si>
    <t xml:space="preserve">8098-6</t>
  </si>
  <si>
    <t xml:space="preserve">2143-6</t>
  </si>
  <si>
    <t xml:space="preserve">2842-3</t>
  </si>
  <si>
    <t xml:space="preserve">1989-3</t>
  </si>
  <si>
    <t xml:space="preserve">  Historical Trend — Thyroid Peroxidase Ab</t>
  </si>
  <si>
    <t xml:space="preserve">Date</t>
  </si>
  <si>
    <t xml:space="preserve">Ref Low</t>
  </si>
  <si>
    <t xml:space="preserve">Ref High</t>
  </si>
  <si>
    <t xml:space="preserve">2025-02-19</t>
  </si>
  <si>
    <t xml:space="preserve">2025-05-20</t>
  </si>
  <si>
    <t xml:space="preserve">2025-08-18</t>
  </si>
  <si>
    <t xml:space="preserve">2025-11-16</t>
  </si>
  <si>
    <t xml:space="preserve">2026-02-14</t>
  </si>
  <si>
    <t xml:space="preserve">2026-05-15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</si>
  <si>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</si>
  <si>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</si>
  <si>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</si>
  <si>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</si>
  <si>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</si>
  <si>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</si>
  <si>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</si>
  <si>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</si>
  <si>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</si>
  <si>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</si>
  <si>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</si>
  <si>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</si>
  <si>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</si>
  <si>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</si>
  <si>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</si>
  <si>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</si>
  <si>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Nina P. Sokolova, MD, FCAP</t>
  </si>
  <si>
    <t xml:space="preserve">  Methodology, Instrumentation &amp; Disclaimers</t>
  </si>
  <si>
    <t xml:space="preserve">Testing Laboratory</t>
  </si>
  <si>
    <t xml:space="preserve">Vista Endocrine Labs, Phoenix, AZ 85004</t>
  </si>
  <si>
    <t xml:space="preserve">CLIA Certificate</t>
  </si>
  <si>
    <t xml:space="preserve">05D2210567</t>
  </si>
  <si>
    <t xml:space="preserve">Laboratory Director</t>
  </si>
  <si>
    <t xml:space="preserve">Nina P. Sokolova, MD, FCAP</t>
  </si>
  <si>
    <t xml:space="preserve">Primary Instrument</t>
  </si>
  <si>
    <t xml:space="preserve">Roche cobas e801 Immunoassay</t>
  </si>
  <si>
    <t xml:space="preserve">Accreditation</t>
  </si>
  <si>
    <t xml:space="preserve">CAP / CLIA '88 accredited</t>
  </si>
  <si>
    <t xml:space="preserve">Panel</t>
  </si>
  <si>
    <t xml:space="preserve">Thyroid &amp; Endocrine Function Panel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</si>
  <si>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</si>
  <si>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</si>
  <si>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</si>
  <si>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</si>
  <si>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</si>
  <si>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</si>
  <si>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</si>
  <si>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</si>
  <si>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</si>
  <si>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</si>
  <si>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</si>
  <si>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</si>
  <si>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Nina P. Sokolova, MD,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</si>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</sst>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A1B9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4A148C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A1B9A"/>
        <bgColor rgb="FF4A148C"/>
      </patternFill>
    </fill>
    <fill>
      <patternFill patternType="solid">
        <fgColor rgb="FF4A148C"/>
        <bgColor rgb="FF6A1B9A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4F81BD"/>
      <rgbColor rgb="FFD9D9D9"/>
      <rgbColor rgb="FF878787"/>
      <rgbColor rgb="FF9999FF"/>
      <rgbColor rgb="FFBE4B48"/>
      <rgbColor rgb="FFFFFFCC"/>
      <rgbColor rgb="FFCCFFFF"/>
      <rgbColor rgb="FF4A148C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FF9900"/>
      <rgbColor rgb="FFFF6600"/>
      <rgbColor rgb="FF666666"/>
      <rgbColor rgb="FF888888"/>
      <rgbColor rgb="FF003366"/>
      <rgbColor rgb="FF2E7D32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Thyroid Peroxidase Ab (IU/mL)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2025-02-19</c:v>
                </c:pt>
                <c:pt idx="1">
                  <c:v>2025-05-20</c:v>
                </c:pt>
                <c:pt idx="2">
                  <c:v>2025-08-18</c:v>
                </c:pt>
                <c:pt idx="3">
                  <c:v>2025-11-16</c:v>
                </c:pt>
                <c:pt idx="4">
                  <c:v>2026-02-14</c:v>
                </c:pt>
                <c:pt idx="5">
                  <c:v>2026-05-15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7.7</c:v>
                </c:pt>
                <c:pt idx="1">
                  <c:v>6.3</c:v>
                </c:pt>
                <c:pt idx="2">
                  <c:v>6.2</c:v>
                </c:pt>
                <c:pt idx="3">
                  <c:v>6</c:v>
                </c:pt>
                <c:pt idx="4">
                  <c:v>5.6</c:v>
                </c:pt>
                <c:pt idx="5">
                  <c:v>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2025-02-19</c:v>
                </c:pt>
                <c:pt idx="1">
                  <c:v>2025-05-20</c:v>
                </c:pt>
                <c:pt idx="2">
                  <c:v>2025-08-18</c:v>
                </c:pt>
                <c:pt idx="3">
                  <c:v>2025-11-16</c:v>
                </c:pt>
                <c:pt idx="4">
                  <c:v>2026-02-14</c:v>
                </c:pt>
                <c:pt idx="5">
                  <c:v>2026-05-15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2025-02-19</c:v>
                </c:pt>
                <c:pt idx="1">
                  <c:v>2025-05-20</c:v>
                </c:pt>
                <c:pt idx="2">
                  <c:v>2025-08-18</c:v>
                </c:pt>
                <c:pt idx="3">
                  <c:v>2025-11-16</c:v>
                </c:pt>
                <c:pt idx="4">
                  <c:v>2026-02-14</c:v>
                </c:pt>
                <c:pt idx="5">
                  <c:v>2026-05-15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52754"/>
        <c:axId val="72755613"/>
      </c:lineChart>
      <c:catAx>
        <c:axId val="251527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55613"/>
        <c:crosses val="autoZero"/>
        <c:auto val="1"/>
        <c:lblAlgn val="ctr"/>
        <c:lblOffset val="100"/>
        <c:noMultiLvlLbl val="0"/>
      </c:catAx>
      <c:valAx>
        <c:axId val="72755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IU/mL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527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TSH</c:v>
                </c:pt>
                <c:pt idx="1">
                  <c:v>Free T4</c:v>
                </c:pt>
                <c:pt idx="2">
                  <c:v>Free T3</c:v>
                </c:pt>
                <c:pt idx="3">
                  <c:v>Total T4</c:v>
                </c:pt>
                <c:pt idx="4">
                  <c:v>Total T3</c:v>
                </c:pt>
                <c:pt idx="5">
                  <c:v>Thyroid Peroxidase Ab</c:v>
                </c:pt>
                <c:pt idx="6">
                  <c:v>Thyroglobulin Ab</c:v>
                </c:pt>
                <c:pt idx="7">
                  <c:v>Cortisol, AM</c:v>
                </c:pt>
              </c:strCache>
            </c:strRef>
          </c:cat>
          <c:val>
            <c:numRef>
              <c:f>'Result Visualization'!$B$23:$B$30</c:f>
              <c:numCache>
                <c:formatCode>General</c:formatCode>
                <c:ptCount val="8"/>
                <c:pt idx="0">
                  <c:v>1.57</c:v>
                </c:pt>
                <c:pt idx="1">
                  <c:v>0.98</c:v>
                </c:pt>
                <c:pt idx="2">
                  <c:v>2.87</c:v>
                </c:pt>
                <c:pt idx="3">
                  <c:v>7.7</c:v>
                </c:pt>
                <c:pt idx="4">
                  <c:v>157</c:v>
                </c:pt>
                <c:pt idx="5">
                  <c:v>6</c:v>
                </c:pt>
                <c:pt idx="6">
                  <c:v>2</c:v>
                </c:pt>
                <c:pt idx="7">
                  <c:v>27.2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TSH</c:v>
                </c:pt>
                <c:pt idx="1">
                  <c:v>Free T4</c:v>
                </c:pt>
                <c:pt idx="2">
                  <c:v>Free T3</c:v>
                </c:pt>
                <c:pt idx="3">
                  <c:v>Total T4</c:v>
                </c:pt>
                <c:pt idx="4">
                  <c:v>Total T3</c:v>
                </c:pt>
                <c:pt idx="5">
                  <c:v>Thyroid Peroxidase Ab</c:v>
                </c:pt>
                <c:pt idx="6">
                  <c:v>Thyroglobulin Ab</c:v>
                </c:pt>
                <c:pt idx="7">
                  <c:v>Cortisol, AM</c:v>
                </c:pt>
              </c:strCache>
            </c:strRef>
          </c:cat>
          <c:val>
            <c:numRef>
              <c:f>'Result Visualization'!$C$23:$C$30</c:f>
              <c:numCache>
                <c:formatCode>General</c:formatCode>
                <c:ptCount val="8"/>
                <c:pt idx="0">
                  <c:v>4</c:v>
                </c:pt>
                <c:pt idx="1">
                  <c:v>1.8</c:v>
                </c:pt>
                <c:pt idx="2">
                  <c:v>4.2</c:v>
                </c:pt>
                <c:pt idx="3">
                  <c:v>11.7</c:v>
                </c:pt>
                <c:pt idx="4">
                  <c:v>200</c:v>
                </c:pt>
                <c:pt idx="5">
                  <c:v>9</c:v>
                </c:pt>
                <c:pt idx="6">
                  <c:v>4</c:v>
                </c:pt>
                <c:pt idx="7">
                  <c:v>19.4</c:v>
                </c:pt>
              </c:numCache>
            </c:numRef>
          </c:val>
        </c:ser>
        <c:gapWidth val="150"/>
        <c:overlap val="0"/>
        <c:axId val="33717736"/>
        <c:axId val="24508378"/>
      </c:barChart>
      <c:catAx>
        <c:axId val="3371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08378"/>
        <c:crosses val="autoZero"/>
        <c:auto val="1"/>
        <c:lblAlgn val="ctr"/>
        <c:lblOffset val="100"/>
        <c:noMultiLvlLbl val="0"/>
      </c:catAx>
      <c:valAx>
        <c:axId val="24508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177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8" customFormat="false" ht="15" hidden="false" customHeight="false" outlineLevel="0" collapsed="false">
      <c r="A18" s="10" t="s">
        <v>32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</row>
    <row r="21" customFormat="false" ht="15" hidden="false" customHeight="false" outlineLevel="0" collapsed="false">
      <c r="A21" s="11" t="s">
        <v>33</v>
      </c>
    </row>
  </sheetData>
  <mergeCells count="3">
    <mergeCell ref="A6:H6"/>
    <mergeCell ref="A14:H14"/>
    <mergeCell ref="A18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2" t="s">
        <v>34</v>
      </c>
      <c r="B1" s="12"/>
      <c r="D1" s="12" t="s">
        <v>35</v>
      </c>
      <c r="E1" s="12"/>
    </row>
    <row r="2" customFormat="false" ht="15" hidden="false" customHeight="false" outlineLevel="0" collapsed="false">
      <c r="A2" s="13" t="s">
        <v>36</v>
      </c>
      <c r="B2" s="14" t="s">
        <v>5</v>
      </c>
      <c r="D2" s="13" t="s">
        <v>6</v>
      </c>
      <c r="E2" s="14" t="s">
        <v>7</v>
      </c>
    </row>
    <row r="3" customFormat="false" ht="15" hidden="false" customHeight="false" outlineLevel="0" collapsed="false">
      <c r="A3" s="13" t="s">
        <v>37</v>
      </c>
      <c r="B3" s="14" t="s">
        <v>9</v>
      </c>
      <c r="D3" s="13" t="s">
        <v>19</v>
      </c>
      <c r="E3" s="14" t="s">
        <v>20</v>
      </c>
    </row>
    <row r="4" customFormat="false" ht="15" hidden="false" customHeight="false" outlineLevel="0" collapsed="false">
      <c r="A4" s="13" t="s">
        <v>38</v>
      </c>
      <c r="B4" s="14" t="s">
        <v>13</v>
      </c>
      <c r="D4" s="13" t="s">
        <v>39</v>
      </c>
      <c r="E4" s="14" t="s">
        <v>40</v>
      </c>
    </row>
    <row r="5" customFormat="false" ht="15" hidden="false" customHeight="false" outlineLevel="0" collapsed="false">
      <c r="A5" s="13" t="s">
        <v>41</v>
      </c>
      <c r="B5" s="14" t="s">
        <v>42</v>
      </c>
      <c r="D5" s="13" t="s">
        <v>43</v>
      </c>
      <c r="E5" s="14" t="s">
        <v>22</v>
      </c>
    </row>
    <row r="6" customFormat="false" ht="15" hidden="false" customHeight="false" outlineLevel="0" collapsed="false">
      <c r="A6" s="13" t="s">
        <v>44</v>
      </c>
      <c r="B6" s="14" t="s">
        <v>45</v>
      </c>
      <c r="D6" s="13" t="s">
        <v>10</v>
      </c>
      <c r="E6" s="14" t="s">
        <v>11</v>
      </c>
    </row>
    <row r="7" customFormat="false" ht="15" hidden="false" customHeight="false" outlineLevel="0" collapsed="false">
      <c r="A7" s="13" t="s">
        <v>46</v>
      </c>
      <c r="B7" s="14" t="s">
        <v>47</v>
      </c>
      <c r="D7" s="13" t="s">
        <v>14</v>
      </c>
      <c r="E7" s="14" t="s">
        <v>11</v>
      </c>
    </row>
    <row r="8" customFormat="false" ht="15" hidden="false" customHeight="false" outlineLevel="0" collapsed="false">
      <c r="A8" s="13" t="s">
        <v>48</v>
      </c>
      <c r="B8" s="14" t="s">
        <v>49</v>
      </c>
      <c r="D8" s="13" t="s">
        <v>17</v>
      </c>
      <c r="E8" s="14" t="s">
        <v>18</v>
      </c>
    </row>
    <row r="9" customFormat="false" ht="15" hidden="false" customHeight="false" outlineLevel="0" collapsed="false">
      <c r="A9" s="13" t="s">
        <v>50</v>
      </c>
      <c r="B9" s="14" t="s">
        <v>51</v>
      </c>
      <c r="D9" s="13" t="s">
        <v>52</v>
      </c>
      <c r="E9" s="14" t="s">
        <v>53</v>
      </c>
    </row>
    <row r="10" customFormat="false" ht="15" hidden="false" customHeight="false" outlineLevel="0" collapsed="false">
      <c r="A10" s="15"/>
      <c r="B10" s="15"/>
      <c r="D10" s="13" t="s">
        <v>54</v>
      </c>
      <c r="E10" s="14" t="s">
        <v>55</v>
      </c>
    </row>
    <row r="11" customFormat="false" ht="15" hidden="false" customHeight="false" outlineLevel="0" collapsed="false">
      <c r="A11" s="15"/>
      <c r="B11" s="15"/>
      <c r="D11" s="15"/>
      <c r="E11" s="15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9.5" hidden="false" customHeight="true" outlineLevel="0" collapsed="false">
      <c r="A1" s="16" t="s">
        <v>56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17" t="s">
        <v>57</v>
      </c>
      <c r="B3" s="17" t="s">
        <v>25</v>
      </c>
      <c r="C3" s="17" t="s">
        <v>26</v>
      </c>
      <c r="D3" s="17" t="s">
        <v>58</v>
      </c>
      <c r="E3" s="17" t="s">
        <v>59</v>
      </c>
      <c r="F3" s="17" t="s">
        <v>60</v>
      </c>
    </row>
    <row r="4" customFormat="false" ht="15" hidden="false" customHeight="false" outlineLevel="0" collapsed="false">
      <c r="A4" s="14" t="s">
        <v>61</v>
      </c>
      <c r="B4" s="18" t="n">
        <v>1.57</v>
      </c>
      <c r="C4" s="18"/>
      <c r="D4" s="14" t="s">
        <v>62</v>
      </c>
      <c r="E4" s="14" t="s">
        <v>63</v>
      </c>
      <c r="F4" s="14" t="s">
        <v>64</v>
      </c>
    </row>
    <row r="5" customFormat="false" ht="15" hidden="false" customHeight="false" outlineLevel="0" collapsed="false">
      <c r="A5" s="14" t="s">
        <v>65</v>
      </c>
      <c r="B5" s="18" t="n">
        <v>0.98</v>
      </c>
      <c r="C5" s="18"/>
      <c r="D5" s="14" t="s">
        <v>66</v>
      </c>
      <c r="E5" s="14" t="s">
        <v>67</v>
      </c>
      <c r="F5" s="14" t="s">
        <v>68</v>
      </c>
    </row>
    <row r="6" customFormat="false" ht="15" hidden="false" customHeight="false" outlineLevel="0" collapsed="false">
      <c r="A6" s="14" t="s">
        <v>69</v>
      </c>
      <c r="B6" s="18" t="n">
        <v>2.87</v>
      </c>
      <c r="C6" s="18"/>
      <c r="D6" s="14" t="s">
        <v>70</v>
      </c>
      <c r="E6" s="14" t="s">
        <v>71</v>
      </c>
      <c r="F6" s="14" t="s">
        <v>68</v>
      </c>
    </row>
    <row r="7" customFormat="false" ht="15" hidden="false" customHeight="false" outlineLevel="0" collapsed="false">
      <c r="A7" s="14" t="s">
        <v>72</v>
      </c>
      <c r="B7" s="18" t="n">
        <v>7.7</v>
      </c>
      <c r="C7" s="18"/>
      <c r="D7" s="14" t="s">
        <v>73</v>
      </c>
      <c r="E7" s="14" t="s">
        <v>74</v>
      </c>
      <c r="F7" s="14" t="s">
        <v>68</v>
      </c>
    </row>
    <row r="8" customFormat="false" ht="15" hidden="false" customHeight="false" outlineLevel="0" collapsed="false">
      <c r="A8" s="14" t="s">
        <v>75</v>
      </c>
      <c r="B8" s="18" t="n">
        <v>157</v>
      </c>
      <c r="C8" s="18"/>
      <c r="D8" s="14" t="s">
        <v>76</v>
      </c>
      <c r="E8" s="14" t="s">
        <v>67</v>
      </c>
      <c r="F8" s="14" t="s">
        <v>68</v>
      </c>
    </row>
    <row r="9" customFormat="false" ht="15" hidden="false" customHeight="false" outlineLevel="0" collapsed="false">
      <c r="A9" s="14" t="s">
        <v>77</v>
      </c>
      <c r="B9" s="18" t="n">
        <v>6</v>
      </c>
      <c r="C9" s="18"/>
      <c r="D9" s="14" t="s">
        <v>78</v>
      </c>
      <c r="E9" s="14" t="s">
        <v>79</v>
      </c>
      <c r="F9" s="14" t="s">
        <v>68</v>
      </c>
    </row>
    <row r="10" customFormat="false" ht="15" hidden="false" customHeight="false" outlineLevel="0" collapsed="false">
      <c r="A10" s="14" t="s">
        <v>80</v>
      </c>
      <c r="B10" s="18" t="n">
        <v>2</v>
      </c>
      <c r="C10" s="18"/>
      <c r="D10" s="14" t="s">
        <v>81</v>
      </c>
      <c r="E10" s="14" t="s">
        <v>79</v>
      </c>
      <c r="F10" s="14" t="s">
        <v>68</v>
      </c>
    </row>
    <row r="11" customFormat="false" ht="15" hidden="false" customHeight="false" outlineLevel="0" collapsed="false">
      <c r="A11" s="19" t="s">
        <v>28</v>
      </c>
      <c r="B11" s="20" t="n">
        <v>27.2</v>
      </c>
      <c r="C11" s="21" t="s">
        <v>30</v>
      </c>
      <c r="D11" s="19" t="s">
        <v>31</v>
      </c>
      <c r="E11" s="19" t="s">
        <v>74</v>
      </c>
      <c r="F11" s="19" t="s">
        <v>68</v>
      </c>
    </row>
    <row r="12" customFormat="false" ht="15" hidden="false" customHeight="false" outlineLevel="0" collapsed="false">
      <c r="A12" s="14" t="s">
        <v>82</v>
      </c>
      <c r="B12" s="18" t="n">
        <v>13.8</v>
      </c>
      <c r="C12" s="18"/>
      <c r="D12" s="14" t="s">
        <v>83</v>
      </c>
      <c r="E12" s="14" t="s">
        <v>84</v>
      </c>
      <c r="F12" s="14" t="s">
        <v>68</v>
      </c>
    </row>
    <row r="13" customFormat="false" ht="15" hidden="false" customHeight="false" outlineLevel="0" collapsed="false">
      <c r="A13" s="14" t="s">
        <v>85</v>
      </c>
      <c r="B13" s="18" t="n">
        <v>64</v>
      </c>
      <c r="C13" s="18"/>
      <c r="D13" s="14" t="s">
        <v>86</v>
      </c>
      <c r="E13" s="14" t="s">
        <v>84</v>
      </c>
      <c r="F13" s="14" t="s">
        <v>87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6" t="s">
        <v>88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22" t="s">
        <v>24</v>
      </c>
      <c r="B3" s="22" t="s">
        <v>89</v>
      </c>
      <c r="C3" s="22" t="s">
        <v>59</v>
      </c>
      <c r="D3" s="22" t="s">
        <v>90</v>
      </c>
      <c r="E3" s="22" t="s">
        <v>91</v>
      </c>
      <c r="F3" s="22" t="s">
        <v>60</v>
      </c>
    </row>
    <row r="4" customFormat="false" ht="15" hidden="false" customHeight="false" outlineLevel="0" collapsed="false">
      <c r="A4" s="23" t="s">
        <v>61</v>
      </c>
      <c r="B4" s="23" t="s">
        <v>92</v>
      </c>
      <c r="C4" s="23" t="s">
        <v>63</v>
      </c>
      <c r="D4" s="23" t="n">
        <v>0.4</v>
      </c>
      <c r="E4" s="23" t="n">
        <v>4</v>
      </c>
      <c r="F4" s="23" t="s">
        <v>64</v>
      </c>
    </row>
    <row r="5" customFormat="false" ht="15" hidden="false" customHeight="false" outlineLevel="0" collapsed="false">
      <c r="A5" s="23" t="s">
        <v>65</v>
      </c>
      <c r="B5" s="23" t="s">
        <v>93</v>
      </c>
      <c r="C5" s="23" t="s">
        <v>67</v>
      </c>
      <c r="D5" s="23" t="n">
        <v>0.8</v>
      </c>
      <c r="E5" s="23" t="n">
        <v>1.8</v>
      </c>
      <c r="F5" s="23" t="s">
        <v>68</v>
      </c>
    </row>
    <row r="6" customFormat="false" ht="15" hidden="false" customHeight="false" outlineLevel="0" collapsed="false">
      <c r="A6" s="23" t="s">
        <v>69</v>
      </c>
      <c r="B6" s="23" t="s">
        <v>94</v>
      </c>
      <c r="C6" s="23" t="s">
        <v>71</v>
      </c>
      <c r="D6" s="23" t="n">
        <v>2.3</v>
      </c>
      <c r="E6" s="23" t="n">
        <v>4.2</v>
      </c>
      <c r="F6" s="23" t="s">
        <v>68</v>
      </c>
    </row>
    <row r="7" customFormat="false" ht="15" hidden="false" customHeight="false" outlineLevel="0" collapsed="false">
      <c r="A7" s="23" t="s">
        <v>72</v>
      </c>
      <c r="B7" s="23" t="s">
        <v>95</v>
      </c>
      <c r="C7" s="23" t="s">
        <v>74</v>
      </c>
      <c r="D7" s="23" t="n">
        <v>4.5</v>
      </c>
      <c r="E7" s="23" t="n">
        <v>11.7</v>
      </c>
      <c r="F7" s="23" t="s">
        <v>68</v>
      </c>
    </row>
    <row r="8" customFormat="false" ht="15" hidden="false" customHeight="false" outlineLevel="0" collapsed="false">
      <c r="A8" s="23" t="s">
        <v>75</v>
      </c>
      <c r="B8" s="23" t="s">
        <v>96</v>
      </c>
      <c r="C8" s="23" t="s">
        <v>67</v>
      </c>
      <c r="D8" s="23" t="n">
        <v>80</v>
      </c>
      <c r="E8" s="23" t="n">
        <v>200</v>
      </c>
      <c r="F8" s="23" t="s">
        <v>68</v>
      </c>
    </row>
    <row r="9" customFormat="false" ht="15" hidden="false" customHeight="false" outlineLevel="0" collapsed="false">
      <c r="A9" s="23" t="s">
        <v>77</v>
      </c>
      <c r="B9" s="23" t="s">
        <v>97</v>
      </c>
      <c r="C9" s="23" t="s">
        <v>79</v>
      </c>
      <c r="D9" s="23" t="n">
        <v>0</v>
      </c>
      <c r="E9" s="23" t="n">
        <v>9</v>
      </c>
      <c r="F9" s="23" t="s">
        <v>68</v>
      </c>
    </row>
    <row r="10" customFormat="false" ht="15" hidden="false" customHeight="false" outlineLevel="0" collapsed="false">
      <c r="A10" s="23" t="s">
        <v>80</v>
      </c>
      <c r="B10" s="23" t="s">
        <v>98</v>
      </c>
      <c r="C10" s="23" t="s">
        <v>79</v>
      </c>
      <c r="D10" s="23" t="n">
        <v>0</v>
      </c>
      <c r="E10" s="23" t="n">
        <v>4</v>
      </c>
      <c r="F10" s="23" t="s">
        <v>68</v>
      </c>
    </row>
    <row r="11" customFormat="false" ht="15" hidden="false" customHeight="false" outlineLevel="0" collapsed="false">
      <c r="A11" s="23" t="s">
        <v>28</v>
      </c>
      <c r="B11" s="23" t="s">
        <v>99</v>
      </c>
      <c r="C11" s="23" t="s">
        <v>74</v>
      </c>
      <c r="D11" s="23" t="n">
        <v>6.2</v>
      </c>
      <c r="E11" s="23" t="n">
        <v>19.4</v>
      </c>
      <c r="F11" s="23" t="s">
        <v>68</v>
      </c>
    </row>
    <row r="12" customFormat="false" ht="15" hidden="false" customHeight="false" outlineLevel="0" collapsed="false">
      <c r="A12" s="23" t="s">
        <v>82</v>
      </c>
      <c r="B12" s="23" t="s">
        <v>100</v>
      </c>
      <c r="C12" s="23" t="s">
        <v>84</v>
      </c>
      <c r="D12" s="23" t="n">
        <v>4</v>
      </c>
      <c r="E12" s="23" t="n">
        <v>15.2</v>
      </c>
      <c r="F12" s="23" t="s">
        <v>68</v>
      </c>
    </row>
    <row r="13" customFormat="false" ht="15" hidden="false" customHeight="false" outlineLevel="0" collapsed="false">
      <c r="A13" s="23" t="s">
        <v>85</v>
      </c>
      <c r="B13" s="23" t="s">
        <v>101</v>
      </c>
      <c r="C13" s="23" t="s">
        <v>84</v>
      </c>
      <c r="D13" s="23" t="n">
        <v>30</v>
      </c>
      <c r="E13" s="23" t="n">
        <v>100</v>
      </c>
      <c r="F13" s="23" t="s">
        <v>87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6" t="s">
        <v>102</v>
      </c>
      <c r="B1" s="16"/>
      <c r="C1" s="16"/>
      <c r="D1" s="16"/>
    </row>
    <row r="3" customFormat="false" ht="15" hidden="false" customHeight="false" outlineLevel="0" collapsed="false">
      <c r="A3" s="24" t="s">
        <v>103</v>
      </c>
      <c r="B3" s="24" t="s">
        <v>25</v>
      </c>
      <c r="C3" s="24" t="s">
        <v>104</v>
      </c>
      <c r="D3" s="24" t="s">
        <v>105</v>
      </c>
    </row>
    <row r="4" customFormat="false" ht="15" hidden="false" customHeight="false" outlineLevel="0" collapsed="false">
      <c r="A4" s="0" t="s">
        <v>106</v>
      </c>
      <c r="B4" s="0" t="n">
        <v>7.7</v>
      </c>
      <c r="C4" s="0" t="n">
        <v>0</v>
      </c>
      <c r="D4" s="0" t="n">
        <v>9</v>
      </c>
    </row>
    <row r="5" customFormat="false" ht="15" hidden="false" customHeight="false" outlineLevel="0" collapsed="false">
      <c r="A5" s="0" t="s">
        <v>107</v>
      </c>
      <c r="B5" s="0" t="n">
        <v>6.3</v>
      </c>
      <c r="C5" s="0" t="n">
        <v>0</v>
      </c>
      <c r="D5" s="0" t="n">
        <v>9</v>
      </c>
    </row>
    <row r="6" customFormat="false" ht="15" hidden="false" customHeight="false" outlineLevel="0" collapsed="false">
      <c r="A6" s="0" t="s">
        <v>108</v>
      </c>
      <c r="B6" s="0" t="n">
        <v>6.2</v>
      </c>
      <c r="C6" s="0" t="n">
        <v>0</v>
      </c>
      <c r="D6" s="0" t="n">
        <v>9</v>
      </c>
    </row>
    <row r="7" customFormat="false" ht="15" hidden="false" customHeight="false" outlineLevel="0" collapsed="false">
      <c r="A7" s="0" t="s">
        <v>109</v>
      </c>
      <c r="B7" s="0" t="n">
        <v>6</v>
      </c>
      <c r="C7" s="0" t="n">
        <v>0</v>
      </c>
      <c r="D7" s="0" t="n">
        <v>9</v>
      </c>
    </row>
    <row r="8" customFormat="false" ht="15" hidden="false" customHeight="false" outlineLevel="0" collapsed="false">
      <c r="A8" s="0" t="s">
        <v>110</v>
      </c>
      <c r="B8" s="0" t="n">
        <v>5.6</v>
      </c>
      <c r="C8" s="0" t="n">
        <v>0</v>
      </c>
      <c r="D8" s="0" t="n">
        <v>9</v>
      </c>
    </row>
    <row r="9" customFormat="false" ht="15" hidden="false" customHeight="false" outlineLevel="0" collapsed="false">
      <c r="A9" s="0" t="s">
        <v>111</v>
      </c>
      <c r="B9" s="0" t="n">
        <v>6</v>
      </c>
      <c r="C9" s="0" t="n">
        <v>0</v>
      </c>
      <c r="D9" s="0" t="n">
        <v>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6" t="s">
        <v>112</v>
      </c>
      <c r="B1" s="16"/>
      <c r="C1" s="16"/>
      <c r="D1" s="16"/>
      <c r="E1" s="16"/>
      <c r="F1" s="16"/>
    </row>
    <row r="22" customFormat="false" ht="15" hidden="false" customHeight="false" outlineLevel="0" collapsed="false">
      <c r="A22" s="24" t="s">
        <v>24</v>
      </c>
      <c r="B22" s="24" t="s">
        <v>25</v>
      </c>
      <c r="C22" s="24" t="s">
        <v>105</v>
      </c>
    </row>
    <row r="23" customFormat="false" ht="15" hidden="false" customHeight="false" outlineLevel="0" collapsed="false">
      <c r="A23" s="0" t="s">
        <v>61</v>
      </c>
      <c r="B23" s="0" t="n">
        <v>1.57</v>
      </c>
      <c r="C23" s="0" t="n">
        <v>4</v>
      </c>
    </row>
    <row r="24" customFormat="false" ht="15" hidden="false" customHeight="false" outlineLevel="0" collapsed="false">
      <c r="A24" s="0" t="s">
        <v>65</v>
      </c>
      <c r="B24" s="0" t="n">
        <v>0.98</v>
      </c>
      <c r="C24" s="0" t="n">
        <v>1.8</v>
      </c>
    </row>
    <row r="25" customFormat="false" ht="15" hidden="false" customHeight="false" outlineLevel="0" collapsed="false">
      <c r="A25" s="0" t="s">
        <v>69</v>
      </c>
      <c r="B25" s="0" t="n">
        <v>2.87</v>
      </c>
      <c r="C25" s="0" t="n">
        <v>4.2</v>
      </c>
    </row>
    <row r="26" customFormat="false" ht="15" hidden="false" customHeight="false" outlineLevel="0" collapsed="false">
      <c r="A26" s="0" t="s">
        <v>72</v>
      </c>
      <c r="B26" s="0" t="n">
        <v>7.7</v>
      </c>
      <c r="C26" s="0" t="n">
        <v>11.7</v>
      </c>
    </row>
    <row r="27" customFormat="false" ht="15" hidden="false" customHeight="false" outlineLevel="0" collapsed="false">
      <c r="A27" s="0" t="s">
        <v>75</v>
      </c>
      <c r="B27" s="0" t="n">
        <v>157</v>
      </c>
      <c r="C27" s="0" t="n">
        <v>200</v>
      </c>
    </row>
    <row r="28" customFormat="false" ht="15" hidden="false" customHeight="false" outlineLevel="0" collapsed="false">
      <c r="A28" s="0" t="s">
        <v>77</v>
      </c>
      <c r="B28" s="0" t="n">
        <v>6</v>
      </c>
      <c r="C28" s="0" t="n">
        <v>9</v>
      </c>
    </row>
    <row r="29" customFormat="false" ht="15" hidden="false" customHeight="false" outlineLevel="0" collapsed="false">
      <c r="A29" s="0" t="s">
        <v>80</v>
      </c>
      <c r="B29" s="0" t="n">
        <v>2</v>
      </c>
      <c r="C29" s="0" t="n">
        <v>4</v>
      </c>
    </row>
    <row r="30" customFormat="false" ht="15" hidden="false" customHeight="false" outlineLevel="0" collapsed="false">
      <c r="A30" s="0" t="s">
        <v>28</v>
      </c>
      <c r="B30" s="0" t="n">
        <v>27.2</v>
      </c>
      <c r="C30" s="0" t="n">
        <v>19.4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6" t="s">
        <v>113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22" t="s">
        <v>114</v>
      </c>
      <c r="B3" s="22" t="s">
        <v>115</v>
      </c>
      <c r="C3" s="22" t="s">
        <v>116</v>
      </c>
      <c r="D3" s="22" t="s">
        <v>117</v>
      </c>
      <c r="E3" s="22" t="s">
        <v>118</v>
      </c>
      <c r="F3" s="22" t="s">
        <v>119</v>
      </c>
      <c r="G3" s="22" t="s">
        <v>120</v>
      </c>
      <c r="H3" s="22" t="s">
        <v>121</v>
      </c>
    </row>
    <row r="4" customFormat="false" ht="15" hidden="false" customHeight="false" outlineLevel="0" collapsed="false">
      <c r="A4" s="15" t="s">
        <v>122</v>
      </c>
      <c r="B4" s="15" t="n">
        <v>40.27</v>
      </c>
      <c r="C4" s="15" t="n">
        <v>41.72</v>
      </c>
      <c r="D4" s="15" t="n">
        <v>39.65</v>
      </c>
      <c r="E4" s="15" t="n">
        <v>41.24</v>
      </c>
      <c r="F4" s="15" t="n">
        <f aca="false">AVERAGE(C4:E4)</f>
        <v>40.87</v>
      </c>
      <c r="G4" s="15" t="n">
        <f aca="false">STDEV(C4:E4)</f>
        <v>1.08346665846255</v>
      </c>
      <c r="H4" s="25" t="n">
        <f aca="false">IF(F4=0,0,G4/F4*100)</f>
        <v>2.65100723871434</v>
      </c>
    </row>
    <row r="5" customFormat="false" ht="15" hidden="false" customHeight="false" outlineLevel="0" collapsed="false">
      <c r="A5" s="15" t="s">
        <v>123</v>
      </c>
      <c r="B5" s="15" t="n">
        <v>34.91</v>
      </c>
      <c r="C5" s="15" t="n">
        <v>34.16</v>
      </c>
      <c r="D5" s="15" t="n">
        <v>34.85</v>
      </c>
      <c r="E5" s="15" t="n">
        <v>35.11</v>
      </c>
      <c r="F5" s="15" t="n">
        <f aca="false">AVERAGE(C5:E5)</f>
        <v>34.7066666666667</v>
      </c>
      <c r="G5" s="15" t="n">
        <f aca="false">STDEV(C5:E5)</f>
        <v>0.490951457206652</v>
      </c>
      <c r="H5" s="25" t="n">
        <f aca="false">IF(F5=0,0,G5/F5*100)</f>
        <v>1.41457392587395</v>
      </c>
    </row>
    <row r="6" customFormat="false" ht="15" hidden="false" customHeight="false" outlineLevel="0" collapsed="false">
      <c r="A6" s="15" t="s">
        <v>124</v>
      </c>
      <c r="B6" s="15" t="n">
        <v>63.05</v>
      </c>
      <c r="C6" s="15" t="n">
        <v>63.3</v>
      </c>
      <c r="D6" s="15" t="n">
        <v>61.55</v>
      </c>
      <c r="E6" s="15" t="n">
        <v>63.03</v>
      </c>
      <c r="F6" s="15" t="n">
        <f aca="false">AVERAGE(C6:E6)</f>
        <v>62.6266666666667</v>
      </c>
      <c r="G6" s="15" t="n">
        <f aca="false">STDEV(C6:E6)</f>
        <v>0.94214294739882</v>
      </c>
      <c r="H6" s="25" t="n">
        <f aca="false">IF(F6=0,0,G6/F6*100)</f>
        <v>1.50437983936367</v>
      </c>
    </row>
    <row r="8" customFormat="false" ht="15" hidden="false" customHeight="false" outlineLevel="0" collapsed="false">
      <c r="A8" s="26" t="s">
        <v>125</v>
      </c>
    </row>
    <row r="9" customFormat="false" ht="15" hidden="false" customHeight="false" outlineLevel="0" collapsed="false">
      <c r="A9" s="27" t="s">
        <v>126</v>
      </c>
    </row>
    <row r="10" customFormat="false" ht="15" hidden="false" customHeight="false" outlineLevel="0" collapsed="false">
      <c r="A10" s="28" t="s">
        <v>127</v>
      </c>
    </row>
    <row r="11" customFormat="false" ht="15" hidden="false" customHeight="false" outlineLevel="0" collapsed="false">
      <c r="A11" s="27" t="s">
        <v>128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6" t="s">
        <v>129</v>
      </c>
      <c r="B1" s="16"/>
    </row>
    <row r="3" customFormat="false" ht="15" hidden="false" customHeight="false" outlineLevel="0" collapsed="false">
      <c r="A3" s="13" t="s">
        <v>130</v>
      </c>
      <c r="B3" s="29" t="s">
        <v>131</v>
      </c>
    </row>
    <row r="4" customFormat="false" ht="15" hidden="false" customHeight="false" outlineLevel="0" collapsed="false">
      <c r="A4" s="13" t="s">
        <v>132</v>
      </c>
      <c r="B4" s="29" t="s">
        <v>133</v>
      </c>
    </row>
    <row r="5" customFormat="false" ht="15" hidden="false" customHeight="false" outlineLevel="0" collapsed="false">
      <c r="A5" s="13" t="s">
        <v>134</v>
      </c>
      <c r="B5" s="29" t="s">
        <v>135</v>
      </c>
    </row>
    <row r="6" customFormat="false" ht="15" hidden="false" customHeight="false" outlineLevel="0" collapsed="false">
      <c r="A6" s="13" t="s">
        <v>136</v>
      </c>
      <c r="B6" s="29" t="s">
        <v>137</v>
      </c>
    </row>
    <row r="7" customFormat="false" ht="15" hidden="false" customHeight="false" outlineLevel="0" collapsed="false">
      <c r="A7" s="13" t="s">
        <v>138</v>
      </c>
      <c r="B7" s="29" t="s">
        <v>139</v>
      </c>
    </row>
    <row r="8" customFormat="false" ht="15" hidden="false" customHeight="false" outlineLevel="0" collapsed="false">
      <c r="A8" s="13" t="s">
        <v>140</v>
      </c>
      <c r="B8" s="29" t="s">
        <v>141</v>
      </c>
    </row>
    <row r="9" customFormat="false" ht="15" hidden="false" customHeight="false" outlineLevel="0" collapsed="false">
      <c r="A9" s="13" t="s">
        <v>142</v>
      </c>
      <c r="B9" s="29" t="s">
        <v>22</v>
      </c>
    </row>
    <row r="10" customFormat="false" ht="15" hidden="false" customHeight="false" outlineLevel="0" collapsed="false">
      <c r="A10" s="13" t="s">
        <v>143</v>
      </c>
      <c r="B10" s="29" t="s">
        <v>144</v>
      </c>
    </row>
    <row r="11" customFormat="false" ht="15" hidden="false" customHeight="false" outlineLevel="0" collapsed="false">
      <c r="A11" s="13" t="s">
        <v>145</v>
      </c>
      <c r="B11" s="29" t="s">
        <v>146</v>
      </c>
    </row>
    <row r="12" customFormat="false" ht="15" hidden="false" customHeight="false" outlineLevel="0" collapsed="false">
      <c r="A12" s="13" t="s">
        <v>147</v>
      </c>
      <c r="B12" s="29" t="s">
        <v>148</v>
      </c>
    </row>
    <row r="13" customFormat="false" ht="15" hidden="false" customHeight="false" outlineLevel="0" collapsed="false">
      <c r="A13" s="13" t="s">
        <v>149</v>
      </c>
      <c r="B13" s="29" t="s">
        <v>150</v>
      </c>
    </row>
    <row r="14" customFormat="false" ht="15" hidden="false" customHeight="false" outlineLevel="0" collapsed="false">
      <c r="A14" s="13" t="s">
        <v>151</v>
      </c>
      <c r="B14" s="29" t="s">
        <v>152</v>
      </c>
    </row>
    <row r="15" customFormat="false" ht="15" hidden="false" customHeight="false" outlineLevel="0" collapsed="false">
      <c r="A15" s="13" t="s">
        <v>153</v>
      </c>
      <c r="B15" s="29" t="s">
        <v>154</v>
      </c>
    </row>
    <row r="16" customFormat="false" ht="23.85" hidden="false" customHeight="false" outlineLevel="0" collapsed="false">
      <c r="A16" s="13" t="s">
        <v>155</v>
      </c>
      <c r="B16" s="29" t="s">
        <v>156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2026-07-10T11:39:53Z</dcterms:created>
  <dc:creator>openpyxl</dc:creator>
  <dc:description/>
  <dc:language>en-US</dc:language>
  <cp:lastModifiedBy/>
  <dcterms:modified xsi:type="dcterms:W3CDTF">2026-07-10T11:40:11Z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